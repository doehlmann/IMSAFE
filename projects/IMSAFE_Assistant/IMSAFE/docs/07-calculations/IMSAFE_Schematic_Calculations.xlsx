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1_MCU_Core" sheetId="2" state="visible" r:id="rId2"/>
    <sheet name="02_USB_C" sheetId="3" state="visible" r:id="rId3"/>
    <sheet name="03_Charger" sheetId="4" state="visible" r:id="rId4"/>
    <sheet name="04_BMS" sheetId="5" state="visible" r:id="rId5"/>
    <sheet name="05_06_Regulators" sheetId="6" state="visible" r:id="rId6"/>
    <sheet name="Power_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IMSAFE Schematic Calculations</t>
        </is>
      </c>
    </row>
    <row r="2">
      <c r="A2" t="inlineStr">
        <is>
          <t>Generated: 2026-01-29 09:44</t>
        </is>
      </c>
    </row>
    <row r="3">
      <c r="A3" t="inlineStr">
        <is>
          <t>Project: IMSAFE Flying Assistant</t>
        </is>
      </c>
    </row>
    <row r="5">
      <c r="A5" s="2" t="inlineStr">
        <is>
          <t>Document Overview</t>
        </is>
      </c>
    </row>
    <row r="6">
      <c r="A6" s="3" t="inlineStr">
        <is>
          <t>Sheet</t>
        </is>
      </c>
      <c r="B6" s="3" t="inlineStr">
        <is>
          <t>Description</t>
        </is>
      </c>
      <c r="C6" s="3" t="inlineStr">
        <is>
          <t>Status</t>
        </is>
      </c>
      <c r="D6" s="3" t="inlineStr">
        <is>
          <t>Components</t>
        </is>
      </c>
      <c r="E6" s="3" t="inlineStr">
        <is>
          <t>Notes</t>
        </is>
      </c>
    </row>
    <row r="7">
      <c r="A7" s="4" t="inlineStr">
        <is>
          <t>01_MCU_Core</t>
        </is>
      </c>
      <c r="B7" s="4" t="inlineStr">
        <is>
          <t>Crystal &amp; decoupling calculations</t>
        </is>
      </c>
      <c r="C7" s="4" t="inlineStr">
        <is>
          <t>Complete</t>
        </is>
      </c>
      <c r="D7" s="4" t="inlineStr">
        <is>
          <t>28</t>
        </is>
      </c>
      <c r="E7" s="4" t="inlineStr">
        <is>
          <t>Per ST AN4661</t>
        </is>
      </c>
    </row>
    <row r="8">
      <c r="A8" s="4" t="inlineStr">
        <is>
          <t>02_USB_C</t>
        </is>
      </c>
      <c r="B8" s="4" t="inlineStr">
        <is>
          <t>CC resistor &amp; ESD calculations</t>
        </is>
      </c>
      <c r="C8" s="4" t="inlineStr">
        <is>
          <t>Complete</t>
        </is>
      </c>
      <c r="D8" s="4" t="inlineStr">
        <is>
          <t>6</t>
        </is>
      </c>
      <c r="E8" s="4" t="inlineStr">
        <is>
          <t>USB 2.0 UFP</t>
        </is>
      </c>
    </row>
    <row r="9">
      <c r="A9" s="4" t="inlineStr">
        <is>
          <t>03_Charger</t>
        </is>
      </c>
      <c r="B9" s="4" t="inlineStr">
        <is>
          <t>BQ25792 sizing calculations</t>
        </is>
      </c>
      <c r="C9" s="4" t="inlineStr">
        <is>
          <t>Complete</t>
        </is>
      </c>
      <c r="D9" s="4" t="inlineStr">
        <is>
          <t>17</t>
        </is>
      </c>
      <c r="E9" s="4" t="inlineStr">
        <is>
          <t>Buck-boost power path</t>
        </is>
      </c>
    </row>
    <row r="10">
      <c r="A10" s="4" t="inlineStr">
        <is>
          <t>04_BMS</t>
        </is>
      </c>
      <c r="B10" s="4" t="inlineStr">
        <is>
          <t>Cell protection &amp; balancing</t>
        </is>
      </c>
      <c r="C10" s="4" t="inlineStr">
        <is>
          <t>Complete</t>
        </is>
      </c>
      <c r="D10" s="4" t="inlineStr">
        <is>
          <t>15</t>
        </is>
      </c>
      <c r="E10" s="4" t="inlineStr">
        <is>
          <t>HY2120 + HY2213</t>
        </is>
      </c>
    </row>
    <row r="11">
      <c r="A11" s="4" t="inlineStr">
        <is>
          <t>05_06_Regulators</t>
        </is>
      </c>
      <c r="B11" s="4" t="inlineStr">
        <is>
          <t>3.3V/5V buck regulator sizing</t>
        </is>
      </c>
      <c r="C11" s="4" t="inlineStr">
        <is>
          <t>Complete</t>
        </is>
      </c>
      <c r="D11" s="4" t="inlineStr">
        <is>
          <t>18</t>
        </is>
      </c>
      <c r="E11" s="4" t="inlineStr">
        <is>
          <t>TPS62133/TPS62130</t>
        </is>
      </c>
    </row>
    <row r="12">
      <c r="A12" s="4" t="inlineStr">
        <is>
          <t>Power_Budget</t>
        </is>
      </c>
      <c r="B12" s="4" t="inlineStr">
        <is>
          <t>System power analysis</t>
        </is>
      </c>
      <c r="C12" s="4" t="inlineStr">
        <is>
          <t>In Progress</t>
        </is>
      </c>
      <c r="D12" s="4" t="inlineStr">
        <is>
          <t>-</t>
        </is>
      </c>
      <c r="E12" s="4" t="inlineStr">
        <is>
          <t>All sections</t>
        </is>
      </c>
    </row>
  </sheetData>
  <mergeCells count="1"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5" customWidth="1" min="5" max="5"/>
    <col width="40" customWidth="1" min="6" max="6"/>
  </cols>
  <sheetData>
    <row r="1">
      <c r="A1" s="2" t="inlineStr">
        <is>
          <t>Section 01: MCU Core - STM32H747AGI6</t>
        </is>
      </c>
    </row>
    <row r="3">
      <c r="A3" s="2" t="inlineStr">
        <is>
          <t>HSE Crystal Load Capacitor Calculation (8 MHz)</t>
        </is>
      </c>
    </row>
    <row r="4">
      <c r="A4" s="3" t="inlineStr">
        <is>
          <t>Parameter</t>
        </is>
      </c>
      <c r="B4" s="3" t="inlineStr">
        <is>
          <t>Symbol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Formula</t>
        </is>
      </c>
      <c r="F4" s="3" t="inlineStr">
        <is>
          <t>Notes</t>
        </is>
      </c>
    </row>
    <row r="5">
      <c r="A5" s="4" t="inlineStr">
        <is>
          <t>Crystal Load Capacitance</t>
        </is>
      </c>
      <c r="B5" s="4" t="inlineStr">
        <is>
          <t>CL</t>
        </is>
      </c>
      <c r="C5" s="4" t="n">
        <v>10</v>
      </c>
      <c r="D5" s="4" t="inlineStr">
        <is>
          <t>pF</t>
        </is>
      </c>
      <c r="E5" s="4" t="inlineStr">
        <is>
          <t>From datasheet</t>
        </is>
      </c>
      <c r="F5" s="4" t="inlineStr">
        <is>
          <t>Typical 8MHz 3225 crystal</t>
        </is>
      </c>
    </row>
    <row r="6">
      <c r="A6" s="4" t="inlineStr">
        <is>
          <t>PCB Stray Capacitance</t>
        </is>
      </c>
      <c r="B6" s="4" t="inlineStr">
        <is>
          <t>Cstray</t>
        </is>
      </c>
      <c r="C6" s="4" t="n">
        <v>3</v>
      </c>
      <c r="D6" s="4" t="inlineStr">
        <is>
          <t>pF</t>
        </is>
      </c>
      <c r="E6" s="4" t="inlineStr">
        <is>
          <t>Estimate</t>
        </is>
      </c>
      <c r="F6" s="4" t="inlineStr">
        <is>
          <t>Typical range 2-5 pF</t>
        </is>
      </c>
    </row>
    <row r="7">
      <c r="A7" s="4" t="inlineStr">
        <is>
          <t>Calculated Load Cap</t>
        </is>
      </c>
      <c r="B7" s="4" t="inlineStr">
        <is>
          <t>Cload</t>
        </is>
      </c>
      <c r="C7" s="4">
        <f>2*(C4-C5)</f>
        <v/>
      </c>
      <c r="D7" s="4" t="inlineStr">
        <is>
          <t>pF</t>
        </is>
      </c>
      <c r="E7" s="4" t="inlineStr">
        <is>
          <t>CL = (C1*C2)/(C1+C2) + Cstray</t>
        </is>
      </c>
      <c r="F7" s="4" t="inlineStr">
        <is>
          <t>Assuming C1=C2</t>
        </is>
      </c>
    </row>
    <row r="8">
      <c r="A8" s="4" t="inlineStr">
        <is>
          <t>Selected Load Cap</t>
        </is>
      </c>
      <c r="B8" s="4" t="inlineStr">
        <is>
          <t>C123/C124</t>
        </is>
      </c>
      <c r="C8" s="4" t="n">
        <v>15</v>
      </c>
      <c r="D8" s="4" t="inlineStr">
        <is>
          <t>pF</t>
        </is>
      </c>
      <c r="E8" s="4" t="inlineStr">
        <is>
          <t>Standard value</t>
        </is>
      </c>
      <c r="F8" s="4" t="inlineStr">
        <is>
          <t>Round up to standard</t>
        </is>
      </c>
    </row>
    <row r="9">
      <c r="A9" s="4" t="inlineStr">
        <is>
          <t>Effective CL</t>
        </is>
      </c>
      <c r="B9" s="4" t="inlineStr">
        <is>
          <t>CL_eff</t>
        </is>
      </c>
      <c r="C9" s="4">
        <f>C7/2+C5</f>
        <v/>
      </c>
      <c r="D9" s="4" t="inlineStr">
        <is>
          <t>pF</t>
        </is>
      </c>
      <c r="E9" s="4" t="inlineStr">
        <is>
          <t>Cload/2 + Cstray</t>
        </is>
      </c>
      <c r="F9" s="4" t="inlineStr">
        <is>
          <t>Should be ≈ CL</t>
        </is>
      </c>
    </row>
    <row r="10">
      <c r="A10" s="4" t="inlineStr">
        <is>
          <t>Feedback Resistor</t>
        </is>
      </c>
      <c r="B10" s="4" t="inlineStr">
        <is>
          <t>R101</t>
        </is>
      </c>
      <c r="C10" s="4" t="n">
        <v>1</v>
      </c>
      <c r="D10" s="4" t="inlineStr">
        <is>
          <t>MΩ</t>
        </is>
      </c>
      <c r="E10" s="4" t="inlineStr">
        <is>
          <t>Recommended</t>
        </is>
      </c>
      <c r="F10" s="4" t="inlineStr">
        <is>
          <t>Optional - limits drive</t>
        </is>
      </c>
    </row>
    <row r="12">
      <c r="A12" s="2" t="inlineStr">
        <is>
          <t>LSE Crystal Load Capacitor Calculation (32.768 kHz)</t>
        </is>
      </c>
    </row>
    <row r="13">
      <c r="A13" s="3" t="inlineStr">
        <is>
          <t>Parameter</t>
        </is>
      </c>
      <c r="B13" s="3" t="inlineStr">
        <is>
          <t>Symbol</t>
        </is>
      </c>
      <c r="C13" s="3" t="inlineStr">
        <is>
          <t>Value</t>
        </is>
      </c>
      <c r="D13" s="3" t="inlineStr">
        <is>
          <t>Unit</t>
        </is>
      </c>
      <c r="E13" s="3" t="inlineStr">
        <is>
          <t>Formula</t>
        </is>
      </c>
      <c r="F13" s="3" t="inlineStr">
        <is>
          <t>Notes</t>
        </is>
      </c>
    </row>
    <row r="14">
      <c r="A14" s="4" t="inlineStr">
        <is>
          <t>Crystal Load Capacitance</t>
        </is>
      </c>
      <c r="B14" s="4" t="inlineStr">
        <is>
          <t>CL</t>
        </is>
      </c>
      <c r="C14" s="4" t="n">
        <v>6</v>
      </c>
      <c r="D14" s="4" t="inlineStr">
        <is>
          <t>pF</t>
        </is>
      </c>
      <c r="E14" s="4" t="inlineStr">
        <is>
          <t>From datasheet</t>
        </is>
      </c>
      <c r="F14" s="4" t="inlineStr">
        <is>
          <t>Typical 32.768kHz crystal</t>
        </is>
      </c>
    </row>
    <row r="15">
      <c r="A15" s="4" t="inlineStr">
        <is>
          <t>PCB Stray Capacitance</t>
        </is>
      </c>
      <c r="B15" s="4" t="inlineStr">
        <is>
          <t>Cstray</t>
        </is>
      </c>
      <c r="C15" s="4" t="n">
        <v>2</v>
      </c>
      <c r="D15" s="4" t="inlineStr">
        <is>
          <t>pF</t>
        </is>
      </c>
      <c r="E15" s="4" t="inlineStr">
        <is>
          <t>Estimate</t>
        </is>
      </c>
      <c r="F15" s="4" t="inlineStr">
        <is>
          <t>Lower for small crystal</t>
        </is>
      </c>
    </row>
    <row r="16">
      <c r="A16" s="4" t="inlineStr">
        <is>
          <t>Calculated Load Cap</t>
        </is>
      </c>
      <c r="B16" s="4" t="inlineStr">
        <is>
          <t>Cload</t>
        </is>
      </c>
      <c r="C16" s="4">
        <f>2*(C14-C15)</f>
        <v/>
      </c>
      <c r="D16" s="4" t="inlineStr">
        <is>
          <t>pF</t>
        </is>
      </c>
      <c r="E16" s="4" t="inlineStr">
        <is>
          <t>CL = (C1*C2)/(C1+C2) + Cstray</t>
        </is>
      </c>
      <c r="F16" s="4" t="inlineStr">
        <is>
          <t>Assuming C1=C2</t>
        </is>
      </c>
    </row>
    <row r="17">
      <c r="A17" s="4" t="inlineStr">
        <is>
          <t>Selected Load Cap</t>
        </is>
      </c>
      <c r="B17" s="4" t="inlineStr">
        <is>
          <t>C125/C126</t>
        </is>
      </c>
      <c r="C17" s="4" t="n">
        <v>6.8</v>
      </c>
      <c r="D17" s="4" t="inlineStr">
        <is>
          <t>pF</t>
        </is>
      </c>
      <c r="E17" s="4" t="inlineStr">
        <is>
          <t>Standard value</t>
        </is>
      </c>
      <c r="F17" s="4" t="inlineStr">
        <is>
          <t>Closest standard</t>
        </is>
      </c>
    </row>
    <row r="18">
      <c r="A18" s="4" t="inlineStr">
        <is>
          <t>Effective CL</t>
        </is>
      </c>
      <c r="B18" s="4" t="inlineStr">
        <is>
          <t>CL_eff</t>
        </is>
      </c>
      <c r="C18" s="4">
        <f>C17/2+C15</f>
        <v/>
      </c>
      <c r="D18" s="4" t="inlineStr">
        <is>
          <t>pF</t>
        </is>
      </c>
      <c r="E18" s="4" t="inlineStr">
        <is>
          <t>Cload/2 + Cstray</t>
        </is>
      </c>
      <c r="F18" s="4" t="inlineStr">
        <is>
          <t>Should be ≈ CL</t>
        </is>
      </c>
    </row>
    <row r="19">
      <c r="A19" s="4" t="inlineStr">
        <is>
          <t>Feedback Resistor</t>
        </is>
      </c>
      <c r="B19" s="4" t="inlineStr">
        <is>
          <t>R102</t>
        </is>
      </c>
      <c r="C19" s="4" t="n">
        <v>10</v>
      </c>
      <c r="D19" s="4" t="inlineStr">
        <is>
          <t>MΩ</t>
        </is>
      </c>
      <c r="E19" s="4" t="inlineStr">
        <is>
          <t>Recommended</t>
        </is>
      </c>
      <c r="F19" s="4" t="inlineStr">
        <is>
          <t>Higher for low-power LSE</t>
        </is>
      </c>
    </row>
    <row r="21">
      <c r="A21" s="2" t="inlineStr">
        <is>
          <t>Power Decoupling Summary (per ST AN4661)</t>
        </is>
      </c>
    </row>
    <row r="22">
      <c r="A22" s="3" t="inlineStr">
        <is>
          <t>Power Domain</t>
        </is>
      </c>
      <c r="B22" s="3" t="inlineStr">
        <is>
          <t>Qty</t>
        </is>
      </c>
      <c r="C22" s="3" t="inlineStr">
        <is>
          <t>Value</t>
        </is>
      </c>
      <c r="D22" s="3" t="inlineStr">
        <is>
          <t>Package</t>
        </is>
      </c>
      <c r="E22" s="3" t="inlineStr">
        <is>
          <t>Refs</t>
        </is>
      </c>
      <c r="F22" s="3" t="inlineStr">
        <is>
          <t>Notes</t>
        </is>
      </c>
    </row>
    <row r="23">
      <c r="A23" s="4" t="inlineStr">
        <is>
          <t>VDD (digital)</t>
        </is>
      </c>
      <c r="B23" s="4" t="n">
        <v>1</v>
      </c>
      <c r="C23" s="4" t="inlineStr">
        <is>
          <t>4.7µF</t>
        </is>
      </c>
      <c r="D23" s="4" t="inlineStr">
        <is>
          <t>0805</t>
        </is>
      </c>
      <c r="E23" s="4" t="inlineStr">
        <is>
          <t>C101</t>
        </is>
      </c>
      <c r="F23" s="4" t="inlineStr">
        <is>
          <t>Bulk capacitor</t>
        </is>
      </c>
    </row>
    <row r="24">
      <c r="A24" s="4" t="inlineStr">
        <is>
          <t>VDD (digital)</t>
        </is>
      </c>
      <c r="B24" s="4" t="n">
        <v>10</v>
      </c>
      <c r="C24" s="4" t="inlineStr">
        <is>
          <t>100nF</t>
        </is>
      </c>
      <c r="D24" s="4" t="inlineStr">
        <is>
          <t>0603</t>
        </is>
      </c>
      <c r="E24" s="4" t="inlineStr">
        <is>
          <t>C102-C111</t>
        </is>
      </c>
      <c r="F24" s="4" t="inlineStr">
        <is>
          <t>Per VDD pin</t>
        </is>
      </c>
    </row>
    <row r="25">
      <c r="A25" s="4" t="inlineStr">
        <is>
          <t>VDDA (analog)</t>
        </is>
      </c>
      <c r="B25" s="4" t="n">
        <v>4</v>
      </c>
      <c r="C25" s="4" t="inlineStr">
        <is>
          <t>100nF</t>
        </is>
      </c>
      <c r="D25" s="4" t="inlineStr">
        <is>
          <t>0603</t>
        </is>
      </c>
      <c r="E25" s="4" t="inlineStr">
        <is>
          <t>C112-C115</t>
        </is>
      </c>
      <c r="F25" s="4" t="inlineStr">
        <is>
          <t>Per VDDA pin</t>
        </is>
      </c>
    </row>
    <row r="26">
      <c r="A26" s="4" t="inlineStr">
        <is>
          <t>VDDA (analog)</t>
        </is>
      </c>
      <c r="B26" s="4" t="n">
        <v>1</v>
      </c>
      <c r="C26" s="4" t="inlineStr">
        <is>
          <t>1µF</t>
        </is>
      </c>
      <c r="D26" s="4" t="inlineStr">
        <is>
          <t>0603</t>
        </is>
      </c>
      <c r="E26" s="4" t="inlineStr">
        <is>
          <t>C116</t>
        </is>
      </c>
      <c r="F26" s="4" t="inlineStr">
        <is>
          <t>Analog bulk</t>
        </is>
      </c>
    </row>
    <row r="27">
      <c r="A27" s="4" t="inlineStr">
        <is>
          <t>VDDUSB</t>
        </is>
      </c>
      <c r="B27" s="4" t="n">
        <v>2</v>
      </c>
      <c r="C27" s="4" t="inlineStr">
        <is>
          <t>100nF</t>
        </is>
      </c>
      <c r="D27" s="4" t="inlineStr">
        <is>
          <t>0603</t>
        </is>
      </c>
      <c r="E27" s="4" t="inlineStr">
        <is>
          <t>C117-C118</t>
        </is>
      </c>
      <c r="F27" s="4" t="inlineStr">
        <is>
          <t>USB PHY</t>
        </is>
      </c>
    </row>
    <row r="28">
      <c r="A28" s="4" t="inlineStr">
        <is>
          <t>VCAP (LDO out)</t>
        </is>
      </c>
      <c r="B28" s="4" t="n">
        <v>2</v>
      </c>
      <c r="C28" s="4" t="inlineStr">
        <is>
          <t>2.2µF</t>
        </is>
      </c>
      <c r="D28" s="4" t="inlineStr">
        <is>
          <t>0603</t>
        </is>
      </c>
      <c r="E28" s="4" t="inlineStr">
        <is>
          <t>C119-C120</t>
        </is>
      </c>
      <c r="F28" s="4" t="inlineStr">
        <is>
          <t>Internal regulator</t>
        </is>
      </c>
    </row>
    <row r="29">
      <c r="A29" s="4" t="inlineStr">
        <is>
          <t>VBAT</t>
        </is>
      </c>
      <c r="B29" s="4" t="n">
        <v>1</v>
      </c>
      <c r="C29" s="4" t="inlineStr">
        <is>
          <t>100nF</t>
        </is>
      </c>
      <c r="D29" s="4" t="inlineStr">
        <is>
          <t>0603</t>
        </is>
      </c>
      <c r="E29" s="4" t="inlineStr">
        <is>
          <t>C121</t>
        </is>
      </c>
      <c r="F29" s="4" t="inlineStr">
        <is>
          <t>RTC backup</t>
        </is>
      </c>
    </row>
    <row r="30">
      <c r="A30" s="4" t="inlineStr">
        <is>
          <t>VREF+</t>
        </is>
      </c>
      <c r="B30" s="4" t="n">
        <v>1</v>
      </c>
      <c r="C30" s="4" t="inlineStr">
        <is>
          <t>10nF</t>
        </is>
      </c>
      <c r="D30" s="4" t="inlineStr">
        <is>
          <t>0603</t>
        </is>
      </c>
      <c r="E30" s="4" t="inlineStr">
        <is>
          <t>C122</t>
        </is>
      </c>
      <c r="F30" s="4" t="inlineStr">
        <is>
          <t>ADC reference</t>
        </is>
      </c>
    </row>
    <row r="31">
      <c r="A31" s="4" t="inlineStr">
        <is>
          <t>TOTAL</t>
        </is>
      </c>
      <c r="B31" s="4" t="n">
        <v>22</v>
      </c>
      <c r="C31" s="4" t="inlineStr">
        <is>
          <t>-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Decoupling caps</t>
        </is>
      </c>
    </row>
  </sheetData>
  <mergeCells count="4">
    <mergeCell ref="A3:F3"/>
    <mergeCell ref="A21:F21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5" customWidth="1" min="5" max="5"/>
    <col width="40" customWidth="1" min="6" max="6"/>
  </cols>
  <sheetData>
    <row r="1">
      <c r="A1" s="2" t="inlineStr">
        <is>
          <t>Section 02: USB-C Input</t>
        </is>
      </c>
    </row>
    <row r="3">
      <c r="A3" s="2" t="inlineStr">
        <is>
          <t>CC Pull-Down Resistor Calculation (UFP/Sink Role)</t>
        </is>
      </c>
    </row>
    <row r="4">
      <c r="A4" s="3" t="inlineStr">
        <is>
          <t>Parameter</t>
        </is>
      </c>
      <c r="B4" s="3" t="inlineStr">
        <is>
          <t>Symbol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Spec</t>
        </is>
      </c>
      <c r="F4" s="3" t="inlineStr">
        <is>
          <t>Notes</t>
        </is>
      </c>
    </row>
    <row r="5">
      <c r="A5" s="4" t="inlineStr">
        <is>
          <t>CC Pull-Down (UFP)</t>
        </is>
      </c>
      <c r="B5" s="4" t="inlineStr">
        <is>
          <t>Rd</t>
        </is>
      </c>
      <c r="C5" s="4" t="n">
        <v>5.1</v>
      </c>
      <c r="D5" s="4" t="inlineStr">
        <is>
          <t>kΩ</t>
        </is>
      </c>
      <c r="E5" s="4" t="inlineStr">
        <is>
          <t>USB-C Spec</t>
        </is>
      </c>
      <c r="F5" s="4" t="inlineStr">
        <is>
          <t>Identifies device as sink</t>
        </is>
      </c>
    </row>
    <row r="6">
      <c r="A6" s="4" t="inlineStr">
        <is>
          <t>Tolerance</t>
        </is>
      </c>
      <c r="B6" s="4" t="inlineStr">
        <is>
          <t>-</t>
        </is>
      </c>
      <c r="C6" s="4" t="inlineStr">
        <is>
          <t>±10%</t>
        </is>
      </c>
      <c r="D6" s="4" t="inlineStr">
        <is>
          <t>%</t>
        </is>
      </c>
      <c r="E6" s="4" t="inlineStr">
        <is>
          <t>USB-C Spec</t>
        </is>
      </c>
      <c r="F6" s="4" t="inlineStr">
        <is>
          <t>4.59k - 5.61k acceptable</t>
        </is>
      </c>
    </row>
    <row r="7">
      <c r="A7" s="4" t="inlineStr">
        <is>
          <t>Selected Value</t>
        </is>
      </c>
      <c r="B7" s="4" t="inlineStr">
        <is>
          <t>R201/R202</t>
        </is>
      </c>
      <c r="C7" s="4" t="n">
        <v>5.1</v>
      </c>
      <c r="D7" s="4" t="inlineStr">
        <is>
          <t>kΩ</t>
        </is>
      </c>
      <c r="E7" s="4" t="inlineStr">
        <is>
          <t>-</t>
        </is>
      </c>
      <c r="F7" s="4" t="inlineStr">
        <is>
          <t>Standard 1% resistor</t>
        </is>
      </c>
    </row>
    <row r="8">
      <c r="A8" s="4" t="inlineStr">
        <is>
          <t>Voltage at CC (3A)</t>
        </is>
      </c>
      <c r="B8" s="4" t="inlineStr">
        <is>
          <t>Vcc</t>
        </is>
      </c>
      <c r="C8" s="4" t="inlineStr">
        <is>
          <t>~1.6</t>
        </is>
      </c>
      <c r="D8" s="4" t="inlineStr">
        <is>
          <t>V</t>
        </is>
      </c>
      <c r="E8" s="4" t="inlineStr">
        <is>
          <t>Rp=10k/3A</t>
        </is>
      </c>
      <c r="F8" s="4" t="inlineStr">
        <is>
          <t>DFP uses 10k for 3A</t>
        </is>
      </c>
    </row>
    <row r="9">
      <c r="A9" s="4" t="inlineStr">
        <is>
          <t>Voltage at CC (1.5A)</t>
        </is>
      </c>
      <c r="B9" s="4" t="inlineStr">
        <is>
          <t>Vcc</t>
        </is>
      </c>
      <c r="C9" s="4" t="inlineStr">
        <is>
          <t>~0.9</t>
        </is>
      </c>
      <c r="D9" s="4" t="inlineStr">
        <is>
          <t>V</t>
        </is>
      </c>
      <c r="E9" s="4" t="inlineStr">
        <is>
          <t>Rp=22k/1.5A</t>
        </is>
      </c>
      <c r="F9" s="4" t="inlineStr">
        <is>
          <t>DFP uses 22k for 1.5A</t>
        </is>
      </c>
    </row>
    <row r="11">
      <c r="A11" s="2" t="inlineStr">
        <is>
          <t>ESD Protection (USBLC6-2SC6)</t>
        </is>
      </c>
    </row>
    <row r="12">
      <c r="A12" s="3" t="inlineStr">
        <is>
          <t>Parameter</t>
        </is>
      </c>
      <c r="B12" s="3" t="inlineStr">
        <is>
          <t>Symbol</t>
        </is>
      </c>
      <c r="C12" s="3" t="inlineStr">
        <is>
          <t>Value</t>
        </is>
      </c>
      <c r="D12" s="3" t="inlineStr">
        <is>
          <t>Unit</t>
        </is>
      </c>
      <c r="E12" s="3" t="inlineStr">
        <is>
          <t>Requirement</t>
        </is>
      </c>
      <c r="F12" s="3" t="inlineStr">
        <is>
          <t>Notes</t>
        </is>
      </c>
    </row>
    <row r="13">
      <c r="A13" s="4" t="inlineStr">
        <is>
          <t>ESD Rating (Contact)</t>
        </is>
      </c>
      <c r="B13" s="4" t="inlineStr">
        <is>
          <t>-</t>
        </is>
      </c>
      <c r="C13" s="4" t="inlineStr">
        <is>
          <t>±8</t>
        </is>
      </c>
      <c r="D13" s="4" t="inlineStr">
        <is>
          <t>kV</t>
        </is>
      </c>
      <c r="E13" s="4" t="inlineStr">
        <is>
          <t>IEC 61000-4-2 L4</t>
        </is>
      </c>
      <c r="F13" s="4" t="inlineStr">
        <is>
          <t>Exceeds requirement</t>
        </is>
      </c>
    </row>
    <row r="14">
      <c r="A14" s="4" t="inlineStr">
        <is>
          <t>ESD Rating (Air)</t>
        </is>
      </c>
      <c r="B14" s="4" t="inlineStr">
        <is>
          <t>-</t>
        </is>
      </c>
      <c r="C14" s="4" t="inlineStr">
        <is>
          <t>±15</t>
        </is>
      </c>
      <c r="D14" s="4" t="inlineStr">
        <is>
          <t>kV</t>
        </is>
      </c>
      <c r="E14" s="4" t="inlineStr">
        <is>
          <t>IEC 61000-4-2 L4</t>
        </is>
      </c>
      <c r="F14" s="4" t="inlineStr">
        <is>
          <t>Exceeds requirement</t>
        </is>
      </c>
    </row>
    <row r="15">
      <c r="A15" s="4" t="inlineStr">
        <is>
          <t>Line Capacitance</t>
        </is>
      </c>
      <c r="B15" s="4" t="inlineStr">
        <is>
          <t>Cline</t>
        </is>
      </c>
      <c r="C15" s="4" t="n">
        <v>3.5</v>
      </c>
      <c r="D15" s="4" t="inlineStr">
        <is>
          <t>pF</t>
        </is>
      </c>
      <c r="E15" s="4" t="inlineStr">
        <is>
          <t>&lt;10pF for USB 2.0</t>
        </is>
      </c>
      <c r="F15" s="4" t="inlineStr">
        <is>
          <t>USB 2.0 compatible</t>
        </is>
      </c>
    </row>
    <row r="16">
      <c r="A16" s="4" t="inlineStr">
        <is>
          <t>Clamping Voltage</t>
        </is>
      </c>
      <c r="B16" s="4" t="inlineStr">
        <is>
          <t>Vclamp</t>
        </is>
      </c>
      <c r="C16" s="4" t="inlineStr">
        <is>
          <t>~7</t>
        </is>
      </c>
      <c r="D16" s="4" t="inlineStr">
        <is>
          <t>V</t>
        </is>
      </c>
      <c r="E16" s="4" t="inlineStr">
        <is>
          <t>@8kV</t>
        </is>
      </c>
      <c r="F16" s="4" t="inlineStr">
        <is>
          <t>Protects 3.3V logic</t>
        </is>
      </c>
    </row>
    <row r="17">
      <c r="A17" s="4" t="inlineStr">
        <is>
          <t>Leakage Current</t>
        </is>
      </c>
      <c r="B17" s="4" t="inlineStr">
        <is>
          <t>Ileak</t>
        </is>
      </c>
      <c r="C17" s="4" t="inlineStr">
        <is>
          <t>&lt;1</t>
        </is>
      </c>
      <c r="D17" s="4" t="inlineStr">
        <is>
          <t>µA</t>
        </is>
      </c>
      <c r="E17" s="4" t="inlineStr">
        <is>
          <t>-</t>
        </is>
      </c>
      <c r="F17" s="4" t="inlineStr">
        <is>
          <t>Negligible</t>
        </is>
      </c>
    </row>
    <row r="19">
      <c r="A19" s="2" t="inlineStr">
        <is>
          <t>VBUS Input Filtering</t>
        </is>
      </c>
    </row>
    <row r="20">
      <c r="A20" s="3" t="inlineStr">
        <is>
          <t>Parameter</t>
        </is>
      </c>
      <c r="B20" s="3" t="inlineStr">
        <is>
          <t>Symbol</t>
        </is>
      </c>
      <c r="C20" s="3" t="inlineStr">
        <is>
          <t>Value</t>
        </is>
      </c>
      <c r="D20" s="3" t="inlineStr">
        <is>
          <t>Unit</t>
        </is>
      </c>
      <c r="E20" s="3" t="inlineStr">
        <is>
          <t>Spec</t>
        </is>
      </c>
      <c r="F20" s="3" t="inlineStr">
        <is>
          <t>Notes</t>
        </is>
      </c>
    </row>
    <row r="21">
      <c r="A21" s="4" t="inlineStr">
        <is>
          <t>VBUS Voltage</t>
        </is>
      </c>
      <c r="B21" s="4" t="inlineStr">
        <is>
          <t>VBUS</t>
        </is>
      </c>
      <c r="C21" s="4" t="n">
        <v>5</v>
      </c>
      <c r="D21" s="4" t="inlineStr">
        <is>
          <t>V</t>
        </is>
      </c>
      <c r="E21" s="4" t="inlineStr">
        <is>
          <t>USB Spec</t>
        </is>
      </c>
      <c r="F21" s="4" t="inlineStr">
        <is>
          <t>Nominal</t>
        </is>
      </c>
    </row>
    <row r="22">
      <c r="A22" s="4" t="inlineStr">
        <is>
          <t>VBUS Tolerance</t>
        </is>
      </c>
      <c r="B22" s="4" t="inlineStr">
        <is>
          <t>-</t>
        </is>
      </c>
      <c r="C22" s="4" t="inlineStr">
        <is>
          <t>±5%</t>
        </is>
      </c>
      <c r="D22" s="4" t="inlineStr">
        <is>
          <t>%</t>
        </is>
      </c>
      <c r="E22" s="4" t="inlineStr">
        <is>
          <t>USB Spec</t>
        </is>
      </c>
      <c r="F22" s="4" t="inlineStr">
        <is>
          <t>4.75V - 5.25V</t>
        </is>
      </c>
    </row>
    <row r="23">
      <c r="A23" s="4" t="inlineStr">
        <is>
          <t>HF Filter Cap</t>
        </is>
      </c>
      <c r="B23" s="4" t="inlineStr">
        <is>
          <t>C201</t>
        </is>
      </c>
      <c r="C23" s="4" t="n">
        <v>100</v>
      </c>
      <c r="D23" s="4" t="inlineStr">
        <is>
          <t>nF</t>
        </is>
      </c>
      <c r="E23" s="4" t="inlineStr">
        <is>
          <t>-</t>
        </is>
      </c>
      <c r="F23" s="4" t="inlineStr">
        <is>
          <t>High-frequency noise</t>
        </is>
      </c>
    </row>
    <row r="24">
      <c r="A24" s="4" t="inlineStr">
        <is>
          <t>Bulk Cap</t>
        </is>
      </c>
      <c r="B24" s="4" t="inlineStr">
        <is>
          <t>C202</t>
        </is>
      </c>
      <c r="C24" s="4" t="n">
        <v>10</v>
      </c>
      <c r="D24" s="4" t="inlineStr">
        <is>
          <t>µF</t>
        </is>
      </c>
      <c r="E24" s="4" t="inlineStr">
        <is>
          <t>-</t>
        </is>
      </c>
      <c r="F24" s="4" t="inlineStr">
        <is>
          <t>Inrush/transient</t>
        </is>
      </c>
    </row>
    <row r="25">
      <c r="A25" s="4" t="inlineStr">
        <is>
          <t>Bulk Cap Voltage</t>
        </is>
      </c>
      <c r="B25" s="4" t="inlineStr">
        <is>
          <t>-</t>
        </is>
      </c>
      <c r="C25" s="4" t="n">
        <v>16</v>
      </c>
      <c r="D25" s="4" t="inlineStr">
        <is>
          <t>V</t>
        </is>
      </c>
      <c r="E25" s="4" t="inlineStr">
        <is>
          <t>&gt;5V</t>
        </is>
      </c>
      <c r="F25" s="4" t="inlineStr">
        <is>
          <t>3x margin</t>
        </is>
      </c>
    </row>
  </sheetData>
  <mergeCells count="4">
    <mergeCell ref="A3:F3"/>
    <mergeCell ref="A11:F11"/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2" customWidth="1" min="4" max="4"/>
    <col width="15" customWidth="1" min="5" max="5"/>
    <col width="40" customWidth="1" min="6" max="6"/>
  </cols>
  <sheetData>
    <row r="1">
      <c r="A1" s="2" t="inlineStr">
        <is>
          <t>Section 03: Battery Charger - BQ25792</t>
        </is>
      </c>
    </row>
    <row r="3">
      <c r="A3" s="2" t="inlineStr">
        <is>
          <t>System Parameters</t>
        </is>
      </c>
    </row>
    <row r="4">
      <c r="A4" s="3" t="inlineStr">
        <is>
          <t>Parameter</t>
        </is>
      </c>
      <c r="B4" s="3" t="inlineStr">
        <is>
          <t>Symbol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Formula</t>
        </is>
      </c>
      <c r="F4" s="3" t="inlineStr">
        <is>
          <t>Notes</t>
        </is>
      </c>
    </row>
    <row r="5">
      <c r="A5" s="4" t="inlineStr">
        <is>
          <t>Battery Configuration</t>
        </is>
      </c>
      <c r="B5" s="4" t="inlineStr">
        <is>
          <t>-</t>
        </is>
      </c>
      <c r="C5" s="4" t="inlineStr">
        <is>
          <t>2S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2 cells in series</t>
        </is>
      </c>
    </row>
    <row r="6">
      <c r="A6" s="4" t="inlineStr">
        <is>
          <t>Cell Voltage (nom)</t>
        </is>
      </c>
      <c r="B6" s="4" t="inlineStr">
        <is>
          <t>Vcell</t>
        </is>
      </c>
      <c r="C6" s="4" t="n">
        <v>3.7</v>
      </c>
      <c r="D6" s="4" t="inlineStr">
        <is>
          <t>V</t>
        </is>
      </c>
      <c r="E6" s="4" t="inlineStr">
        <is>
          <t>-</t>
        </is>
      </c>
      <c r="F6" s="4" t="inlineStr">
        <is>
          <t>Li-ion nominal</t>
        </is>
      </c>
    </row>
    <row r="7">
      <c r="A7" s="4" t="inlineStr">
        <is>
          <t>Cell Voltage (max)</t>
        </is>
      </c>
      <c r="B7" s="4" t="inlineStr">
        <is>
          <t>Vcell_max</t>
        </is>
      </c>
      <c r="C7" s="4" t="n">
        <v>4.2</v>
      </c>
      <c r="D7" s="4" t="inlineStr">
        <is>
          <t>V</t>
        </is>
      </c>
      <c r="E7" s="4" t="inlineStr">
        <is>
          <t>-</t>
        </is>
      </c>
      <c r="F7" s="4" t="inlineStr">
        <is>
          <t>Full charge</t>
        </is>
      </c>
    </row>
    <row r="8">
      <c r="A8" s="4" t="inlineStr">
        <is>
          <t>Cell Voltage (min)</t>
        </is>
      </c>
      <c r="B8" s="4" t="inlineStr">
        <is>
          <t>Vcell_min</t>
        </is>
      </c>
      <c r="C8" s="4" t="n">
        <v>3</v>
      </c>
      <c r="D8" s="4" t="inlineStr">
        <is>
          <t>V</t>
        </is>
      </c>
      <c r="E8" s="4" t="inlineStr">
        <is>
          <t>-</t>
        </is>
      </c>
      <c r="F8" s="4" t="inlineStr">
        <is>
          <t>Cutoff</t>
        </is>
      </c>
    </row>
    <row r="9">
      <c r="A9" s="4" t="inlineStr">
        <is>
          <t>Pack Voltage (nom)</t>
        </is>
      </c>
      <c r="B9" s="4" t="inlineStr">
        <is>
          <t>Vbat</t>
        </is>
      </c>
      <c r="C9" s="4" t="n">
        <v>7.4</v>
      </c>
      <c r="D9" s="4" t="inlineStr">
        <is>
          <t>V</t>
        </is>
      </c>
      <c r="E9" s="4">
        <f>2*C6</f>
        <v/>
      </c>
      <c r="F9" s="4" t="inlineStr">
        <is>
          <t>2S nominal</t>
        </is>
      </c>
    </row>
    <row r="10">
      <c r="A10" s="4" t="inlineStr">
        <is>
          <t>Pack Voltage (max)</t>
        </is>
      </c>
      <c r="B10" s="4" t="inlineStr">
        <is>
          <t>Vbat_max</t>
        </is>
      </c>
      <c r="C10" s="4" t="n">
        <v>8.4</v>
      </c>
      <c r="D10" s="4" t="inlineStr">
        <is>
          <t>V</t>
        </is>
      </c>
      <c r="E10" s="4">
        <f>2*C7</f>
        <v/>
      </c>
      <c r="F10" s="4" t="inlineStr">
        <is>
          <t>2S full</t>
        </is>
      </c>
    </row>
    <row r="11">
      <c r="A11" s="4" t="inlineStr">
        <is>
          <t>Pack Capacity</t>
        </is>
      </c>
      <c r="B11" s="4" t="inlineStr">
        <is>
          <t>Cbat</t>
        </is>
      </c>
      <c r="C11" s="4" t="n">
        <v>16000</v>
      </c>
      <c r="D11" s="4" t="inlineStr">
        <is>
          <t>mAh</t>
        </is>
      </c>
      <c r="E11" s="4" t="inlineStr">
        <is>
          <t>-</t>
        </is>
      </c>
      <c r="F11" s="4" t="inlineStr">
        <is>
          <t>Per spec</t>
        </is>
      </c>
    </row>
    <row r="12">
      <c r="A12" s="4" t="inlineStr">
        <is>
          <t>USB Input Voltage</t>
        </is>
      </c>
      <c r="B12" s="4" t="inlineStr">
        <is>
          <t>Vbus</t>
        </is>
      </c>
      <c r="C12" s="4" t="n">
        <v>5</v>
      </c>
      <c r="D12" s="4" t="inlineStr">
        <is>
          <t>V</t>
        </is>
      </c>
      <c r="E12" s="4" t="inlineStr">
        <is>
          <t>-</t>
        </is>
      </c>
      <c r="F12" s="4" t="inlineStr">
        <is>
          <t>USB standard</t>
        </is>
      </c>
    </row>
    <row r="14">
      <c r="A14" s="2" t="inlineStr">
        <is>
          <t>Charge Time Estimates</t>
        </is>
      </c>
    </row>
    <row r="15">
      <c r="A15" s="3" t="inlineStr">
        <is>
          <t>Parameter</t>
        </is>
      </c>
      <c r="B15" s="3" t="inlineStr">
        <is>
          <t>Symbol</t>
        </is>
      </c>
      <c r="C15" s="3" t="inlineStr">
        <is>
          <t>Value</t>
        </is>
      </c>
      <c r="D15" s="3" t="inlineStr">
        <is>
          <t>Unit</t>
        </is>
      </c>
      <c r="E15" s="3" t="inlineStr">
        <is>
          <t>Formula</t>
        </is>
      </c>
      <c r="F15" s="3" t="inlineStr">
        <is>
          <t>Notes</t>
        </is>
      </c>
    </row>
    <row r="16">
      <c r="A16" s="4" t="inlineStr">
        <is>
          <t>USB Power (5V/3A)</t>
        </is>
      </c>
      <c r="B16" s="4" t="inlineStr">
        <is>
          <t>Pusb</t>
        </is>
      </c>
      <c r="C16" s="4" t="n">
        <v>15</v>
      </c>
      <c r="D16" s="4" t="inlineStr">
        <is>
          <t>W</t>
        </is>
      </c>
      <c r="E16" s="4">
        <f>5*3</f>
        <v/>
      </c>
      <c r="F16" s="4" t="inlineStr">
        <is>
          <t>Typical USB-C</t>
        </is>
      </c>
    </row>
    <row r="17">
      <c r="A17" s="4" t="inlineStr">
        <is>
          <t>Charger Efficiency</t>
        </is>
      </c>
      <c r="B17" s="4" t="inlineStr">
        <is>
          <t>η</t>
        </is>
      </c>
      <c r="C17" s="4" t="n">
        <v>90</v>
      </c>
      <c r="D17" s="4" t="inlineStr">
        <is>
          <t>%</t>
        </is>
      </c>
      <c r="E17" s="4" t="inlineStr">
        <is>
          <t>-</t>
        </is>
      </c>
      <c r="F17" s="4" t="inlineStr">
        <is>
          <t>Buck-boost typical</t>
        </is>
      </c>
    </row>
    <row r="18">
      <c r="A18" s="4" t="inlineStr">
        <is>
          <t>Available Power</t>
        </is>
      </c>
      <c r="B18" s="4" t="inlineStr">
        <is>
          <t>Pcharge</t>
        </is>
      </c>
      <c r="C18" s="4" t="n">
        <v>13.5</v>
      </c>
      <c r="D18" s="4" t="inlineStr">
        <is>
          <t>W</t>
        </is>
      </c>
      <c r="E18" s="4">
        <f>C18*C19/100</f>
        <v/>
      </c>
      <c r="F18" s="4" t="inlineStr">
        <is>
          <t>At battery</t>
        </is>
      </c>
    </row>
    <row r="19">
      <c r="A19" s="4" t="inlineStr">
        <is>
          <t>Charge Current @2A</t>
        </is>
      </c>
      <c r="B19" s="4" t="inlineStr">
        <is>
          <t>Ichg_2A</t>
        </is>
      </c>
      <c r="C19" s="4" t="n">
        <v>2</v>
      </c>
      <c r="D19" s="4" t="inlineStr">
        <is>
          <t>A</t>
        </is>
      </c>
      <c r="E19" s="4" t="inlineStr">
        <is>
          <t>-</t>
        </is>
      </c>
      <c r="F19" s="4" t="inlineStr">
        <is>
          <t>Conservative</t>
        </is>
      </c>
    </row>
    <row r="20">
      <c r="A20" s="4" t="inlineStr">
        <is>
          <t>Charge Current @3A</t>
        </is>
      </c>
      <c r="B20" s="4" t="inlineStr">
        <is>
          <t>Ichg_3A</t>
        </is>
      </c>
      <c r="C20" s="4" t="n">
        <v>3</v>
      </c>
      <c r="D20" s="4" t="inlineStr">
        <is>
          <t>A</t>
        </is>
      </c>
      <c r="E20" s="4" t="inlineStr">
        <is>
          <t>-</t>
        </is>
      </c>
      <c r="F20" s="4" t="inlineStr">
        <is>
          <t>Moderate</t>
        </is>
      </c>
    </row>
    <row r="21">
      <c r="A21" s="4" t="inlineStr">
        <is>
          <t>Charge Current @5A</t>
        </is>
      </c>
      <c r="B21" s="4" t="inlineStr">
        <is>
          <t>Ichg_5A</t>
        </is>
      </c>
      <c r="C21" s="4" t="n">
        <v>5</v>
      </c>
      <c r="D21" s="4" t="inlineStr">
        <is>
          <t>A</t>
        </is>
      </c>
      <c r="E21" s="4" t="inlineStr">
        <is>
          <t>-</t>
        </is>
      </c>
      <c r="F21" s="4" t="inlineStr">
        <is>
          <t>Maximum</t>
        </is>
      </c>
    </row>
    <row r="22">
      <c r="A22" s="4" t="inlineStr">
        <is>
          <t>Time @2A</t>
        </is>
      </c>
      <c r="B22" s="4" t="inlineStr">
        <is>
          <t>t_2A</t>
        </is>
      </c>
      <c r="C22" s="4" t="n">
        <v>8</v>
      </c>
      <c r="D22" s="4" t="inlineStr">
        <is>
          <t>hrs</t>
        </is>
      </c>
      <c r="E22" s="4">
        <f>C12/C22/1000</f>
        <v/>
      </c>
      <c r="F22" s="4" t="inlineStr">
        <is>
          <t>16000mAh/2000mA</t>
        </is>
      </c>
    </row>
    <row r="23">
      <c r="A23" s="4" t="inlineStr">
        <is>
          <t>Time @3A</t>
        </is>
      </c>
      <c r="B23" s="4" t="inlineStr">
        <is>
          <t>t_3A</t>
        </is>
      </c>
      <c r="C23" s="4" t="n">
        <v>5.3</v>
      </c>
      <c r="D23" s="4" t="inlineStr">
        <is>
          <t>hrs</t>
        </is>
      </c>
      <c r="E23" s="4">
        <f>C12/C23/1000</f>
        <v/>
      </c>
      <c r="F23" s="4" t="inlineStr">
        <is>
          <t>16000mAh/3000mA</t>
        </is>
      </c>
    </row>
    <row r="24">
      <c r="A24" s="4" t="inlineStr">
        <is>
          <t>Time @5A</t>
        </is>
      </c>
      <c r="B24" s="4" t="inlineStr">
        <is>
          <t>t_5A</t>
        </is>
      </c>
      <c r="C24" s="4" t="n">
        <v>3.2</v>
      </c>
      <c r="D24" s="4" t="inlineStr">
        <is>
          <t>hrs</t>
        </is>
      </c>
      <c r="E24" s="4">
        <f>C12/C24/1000</f>
        <v/>
      </c>
      <c r="F24" s="4" t="inlineStr">
        <is>
          <t>16000mAh/5000mA</t>
        </is>
      </c>
    </row>
    <row r="26">
      <c r="A26" s="2" t="inlineStr">
        <is>
          <t>Current Sense Resistor Calculations</t>
        </is>
      </c>
    </row>
    <row r="27">
      <c r="A27" s="3" t="inlineStr">
        <is>
          <t>Parameter</t>
        </is>
      </c>
      <c r="B27" s="3" t="inlineStr">
        <is>
          <t>Symbol</t>
        </is>
      </c>
      <c r="C27" s="3" t="inlineStr">
        <is>
          <t>Value</t>
        </is>
      </c>
      <c r="D27" s="3" t="inlineStr">
        <is>
          <t>Unit</t>
        </is>
      </c>
      <c r="E27" s="3" t="inlineStr">
        <is>
          <t>Formula</t>
        </is>
      </c>
      <c r="F27" s="3" t="inlineStr">
        <is>
          <t>Notes</t>
        </is>
      </c>
    </row>
    <row r="28">
      <c r="A28" s="4" t="inlineStr">
        <is>
          <t>Input Current (max)</t>
        </is>
      </c>
      <c r="B28" s="4" t="inlineStr">
        <is>
          <t>Iin_max</t>
        </is>
      </c>
      <c r="C28" s="4" t="n">
        <v>3.5</v>
      </c>
      <c r="D28" s="4" t="inlineStr">
        <is>
          <t>A</t>
        </is>
      </c>
      <c r="E28" s="4" t="inlineStr">
        <is>
          <t>-</t>
        </is>
      </c>
      <c r="F28" s="4" t="inlineStr">
        <is>
          <t>USB + margin</t>
        </is>
      </c>
    </row>
    <row r="29">
      <c r="A29" s="4" t="inlineStr">
        <is>
          <t>Input Sense Resistor</t>
        </is>
      </c>
      <c r="B29" s="4" t="inlineStr">
        <is>
          <t>R301</t>
        </is>
      </c>
      <c r="C29" s="4" t="n">
        <v>10</v>
      </c>
      <c r="D29" s="4" t="inlineStr">
        <is>
          <t>mΩ</t>
        </is>
      </c>
      <c r="E29" s="4" t="inlineStr">
        <is>
          <t>BQ25792 typical</t>
        </is>
      </c>
      <c r="F29" s="4" t="inlineStr">
        <is>
          <t>AC sense</t>
        </is>
      </c>
    </row>
    <row r="30">
      <c r="A30" s="4" t="inlineStr">
        <is>
          <t>Input Sense Voltage</t>
        </is>
      </c>
      <c r="B30" s="4" t="inlineStr">
        <is>
          <t>Vsense_in</t>
        </is>
      </c>
      <c r="C30" s="4" t="n">
        <v>35</v>
      </c>
      <c r="D30" s="4" t="inlineStr">
        <is>
          <t>mV</t>
        </is>
      </c>
      <c r="E30" s="4">
        <f>C33*C34</f>
        <v/>
      </c>
      <c r="F30" s="4" t="inlineStr">
        <is>
          <t>At max current</t>
        </is>
      </c>
    </row>
    <row r="31">
      <c r="A31" s="4" t="inlineStr">
        <is>
          <t>Input Sense Power</t>
        </is>
      </c>
      <c r="B31" s="4" t="inlineStr">
        <is>
          <t>Psense_in</t>
        </is>
      </c>
      <c r="C31" s="4" t="n">
        <v>122.5</v>
      </c>
      <c r="D31" s="4" t="inlineStr">
        <is>
          <t>mW</t>
        </is>
      </c>
      <c r="E31" s="4">
        <f>C33^2*C34/1000</f>
        <v/>
      </c>
      <c r="F31" s="4" t="inlineStr">
        <is>
          <t>Power loss</t>
        </is>
      </c>
    </row>
    <row r="32">
      <c r="A32" s="4" t="inlineStr">
        <is>
          <t>Battery Current (max)</t>
        </is>
      </c>
      <c r="B32" s="4" t="inlineStr">
        <is>
          <t>Ibat_max</t>
        </is>
      </c>
      <c r="C32" s="4" t="n">
        <v>5</v>
      </c>
      <c r="D32" s="4" t="inlineStr">
        <is>
          <t>A</t>
        </is>
      </c>
      <c r="E32" s="4" t="inlineStr">
        <is>
          <t>-</t>
        </is>
      </c>
      <c r="F32" s="4" t="inlineStr">
        <is>
          <t>Max charge</t>
        </is>
      </c>
    </row>
    <row r="33">
      <c r="A33" s="4" t="inlineStr">
        <is>
          <t>Battery Sense Resistor</t>
        </is>
      </c>
      <c r="B33" s="4" t="inlineStr">
        <is>
          <t>R302</t>
        </is>
      </c>
      <c r="C33" s="4" t="n">
        <v>5</v>
      </c>
      <c r="D33" s="4" t="inlineStr">
        <is>
          <t>mΩ</t>
        </is>
      </c>
      <c r="E33" s="4" t="inlineStr">
        <is>
          <t>BQ25792 typical</t>
        </is>
      </c>
      <c r="F33" s="4" t="inlineStr">
        <is>
          <t>Lower for efficiency</t>
        </is>
      </c>
    </row>
    <row r="34">
      <c r="A34" s="4" t="inlineStr">
        <is>
          <t>Battery Sense Voltage</t>
        </is>
      </c>
      <c r="B34" s="4" t="inlineStr">
        <is>
          <t>Vsense_bat</t>
        </is>
      </c>
      <c r="C34" s="4" t="n">
        <v>25</v>
      </c>
      <c r="D34" s="4" t="inlineStr">
        <is>
          <t>mV</t>
        </is>
      </c>
      <c r="E34" s="4">
        <f>C38*C39</f>
        <v/>
      </c>
      <c r="F34" s="4" t="inlineStr">
        <is>
          <t>At max current</t>
        </is>
      </c>
    </row>
    <row r="35">
      <c r="A35" s="4" t="inlineStr">
        <is>
          <t>Battery Sense Power</t>
        </is>
      </c>
      <c r="B35" s="4" t="inlineStr">
        <is>
          <t>Psense_bat</t>
        </is>
      </c>
      <c r="C35" s="4" t="n">
        <v>125</v>
      </c>
      <c r="D35" s="4" t="inlineStr">
        <is>
          <t>mW</t>
        </is>
      </c>
      <c r="E35" s="4">
        <f>C38^2*C39/1000</f>
        <v/>
      </c>
      <c r="F35" s="4" t="inlineStr">
        <is>
          <t>Power loss</t>
        </is>
      </c>
    </row>
    <row r="37">
      <c r="A37" s="2" t="inlineStr">
        <is>
          <t>Power Inductor Selection</t>
        </is>
      </c>
    </row>
    <row r="38">
      <c r="A38" s="3" t="inlineStr">
        <is>
          <t>Parameter</t>
        </is>
      </c>
      <c r="B38" s="3" t="inlineStr">
        <is>
          <t>Symbol</t>
        </is>
      </c>
      <c r="C38" s="3" t="inlineStr">
        <is>
          <t>Value</t>
        </is>
      </c>
      <c r="D38" s="3" t="inlineStr">
        <is>
          <t>Unit</t>
        </is>
      </c>
      <c r="E38" s="3" t="inlineStr">
        <is>
          <t>Formula</t>
        </is>
      </c>
      <c r="F38" s="3" t="inlineStr">
        <is>
          <t>Notes</t>
        </is>
      </c>
    </row>
    <row r="39">
      <c r="A39" s="4" t="inlineStr">
        <is>
          <t>Switching Frequency</t>
        </is>
      </c>
      <c r="B39" s="4" t="inlineStr">
        <is>
          <t>Fsw</t>
        </is>
      </c>
      <c r="C39" s="4" t="n">
        <v>750</v>
      </c>
      <c r="D39" s="4" t="inlineStr">
        <is>
          <t>kHz</t>
        </is>
      </c>
      <c r="E39" s="4" t="inlineStr">
        <is>
          <t>BQ25792 typical</t>
        </is>
      </c>
      <c r="F39" s="4" t="inlineStr">
        <is>
          <t>Default</t>
        </is>
      </c>
    </row>
    <row r="40">
      <c r="A40" s="4" t="inlineStr">
        <is>
          <t>Inductor Value</t>
        </is>
      </c>
      <c r="B40" s="4" t="inlineStr">
        <is>
          <t>L1</t>
        </is>
      </c>
      <c r="C40" s="4" t="n">
        <v>2.2</v>
      </c>
      <c r="D40" s="4" t="inlineStr">
        <is>
          <t>µH</t>
        </is>
      </c>
      <c r="E40" s="4" t="inlineStr">
        <is>
          <t>BQ25792 recommended</t>
        </is>
      </c>
      <c r="F40" s="4" t="inlineStr">
        <is>
          <t>1-2.2µH range</t>
        </is>
      </c>
    </row>
    <row r="41">
      <c r="A41" s="4" t="inlineStr">
        <is>
          <t>Saturation Current</t>
        </is>
      </c>
      <c r="B41" s="4" t="inlineStr">
        <is>
          <t>Isat</t>
        </is>
      </c>
      <c r="C41" s="4" t="n">
        <v>5</v>
      </c>
      <c r="D41" s="4" t="inlineStr">
        <is>
          <t>A</t>
        </is>
      </c>
      <c r="E41" s="4" t="inlineStr">
        <is>
          <t>&gt;=Ichg_max</t>
        </is>
      </c>
      <c r="F41" s="4" t="inlineStr">
        <is>
          <t>Must not saturate</t>
        </is>
      </c>
    </row>
    <row r="42">
      <c r="A42" s="4" t="inlineStr">
        <is>
          <t>DC Resistance</t>
        </is>
      </c>
      <c r="B42" s="4" t="inlineStr">
        <is>
          <t>Rdc</t>
        </is>
      </c>
      <c r="C42" s="4" t="n">
        <v>15</v>
      </c>
      <c r="D42" s="4" t="inlineStr">
        <is>
          <t>mΩ</t>
        </is>
      </c>
      <c r="E42" s="4" t="inlineStr">
        <is>
          <t>Typical</t>
        </is>
      </c>
      <c r="F42" s="4" t="inlineStr">
        <is>
          <t>Lower is better</t>
        </is>
      </c>
    </row>
    <row r="43">
      <c r="A43" s="4" t="inlineStr">
        <is>
          <t>Inductor Power Loss</t>
        </is>
      </c>
      <c r="B43" s="4" t="inlineStr">
        <is>
          <t>PL</t>
        </is>
      </c>
      <c r="C43" s="4" t="n">
        <v>375</v>
      </c>
      <c r="D43" s="4" t="inlineStr">
        <is>
          <t>mW</t>
        </is>
      </c>
      <c r="E43" s="4">
        <f>C24^2*C50</f>
        <v/>
      </c>
      <c r="F43" s="4" t="inlineStr">
        <is>
          <t>At 5A</t>
        </is>
      </c>
    </row>
    <row r="44">
      <c r="A44" s="4" t="inlineStr">
        <is>
          <t>Package</t>
        </is>
      </c>
      <c r="B44" s="4" t="inlineStr">
        <is>
          <t>-</t>
        </is>
      </c>
      <c r="C44" s="4" t="inlineStr">
        <is>
          <t>5x5mm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Shielded preferred</t>
        </is>
      </c>
    </row>
    <row r="46">
      <c r="A46" s="2" t="inlineStr">
        <is>
          <t>I2C Pull-Up Resistor Calculation</t>
        </is>
      </c>
    </row>
    <row r="47">
      <c r="A47" s="3" t="inlineStr">
        <is>
          <t>Parameter</t>
        </is>
      </c>
      <c r="B47" s="3" t="inlineStr">
        <is>
          <t>Symbol</t>
        </is>
      </c>
      <c r="C47" s="3" t="inlineStr">
        <is>
          <t>Value</t>
        </is>
      </c>
      <c r="D47" s="3" t="inlineStr">
        <is>
          <t>Unit</t>
        </is>
      </c>
      <c r="E47" s="3" t="inlineStr">
        <is>
          <t>Formula</t>
        </is>
      </c>
      <c r="F47" s="3" t="inlineStr">
        <is>
          <t>Notes</t>
        </is>
      </c>
    </row>
    <row r="48">
      <c r="A48" s="4" t="inlineStr">
        <is>
          <t>I2C Speed</t>
        </is>
      </c>
      <c r="B48" s="4" t="inlineStr">
        <is>
          <t>-</t>
        </is>
      </c>
      <c r="C48" s="4" t="n">
        <v>400</v>
      </c>
      <c r="D48" s="4" t="inlineStr">
        <is>
          <t>kHz</t>
        </is>
      </c>
      <c r="E48" s="4" t="inlineStr">
        <is>
          <t>-</t>
        </is>
      </c>
      <c r="F48" s="4" t="inlineStr">
        <is>
          <t>Fast mode</t>
        </is>
      </c>
    </row>
    <row r="49">
      <c r="A49" s="4" t="inlineStr">
        <is>
          <t>Bus Capacitance (est)</t>
        </is>
      </c>
      <c r="B49" s="4" t="inlineStr">
        <is>
          <t>Cbus</t>
        </is>
      </c>
      <c r="C49" s="4" t="n">
        <v>50</v>
      </c>
      <c r="D49" s="4" t="inlineStr">
        <is>
          <t>pF</t>
        </is>
      </c>
      <c r="E49" s="4" t="inlineStr">
        <is>
          <t>-</t>
        </is>
      </c>
      <c r="F49" s="4" t="inlineStr">
        <is>
          <t>Short traces</t>
        </is>
      </c>
    </row>
    <row r="50">
      <c r="A50" s="4" t="inlineStr">
        <is>
          <t>Rise Time (max)</t>
        </is>
      </c>
      <c r="B50" s="4" t="inlineStr">
        <is>
          <t>tr</t>
        </is>
      </c>
      <c r="C50" s="4" t="n">
        <v>300</v>
      </c>
      <c r="D50" s="4" t="inlineStr">
        <is>
          <t>ns</t>
        </is>
      </c>
      <c r="E50" s="4" t="inlineStr">
        <is>
          <t>I2C FM spec</t>
        </is>
      </c>
      <c r="F50" s="4" t="inlineStr">
        <is>
          <t>Fast mode</t>
        </is>
      </c>
    </row>
    <row r="51">
      <c r="A51" s="4" t="inlineStr">
        <is>
          <t>Pull-Up (max)</t>
        </is>
      </c>
      <c r="B51" s="4" t="inlineStr">
        <is>
          <t>Rp_max</t>
        </is>
      </c>
      <c r="C51" s="4">
        <f>0.3*C59/C60*1e9</f>
        <v/>
      </c>
      <c r="D51" s="4" t="inlineStr">
        <is>
          <t>kΩ</t>
        </is>
      </c>
      <c r="E51" s="4" t="inlineStr">
        <is>
          <t>tr = 0.3 * Rp * Cb</t>
        </is>
      </c>
      <c r="F51" s="4" t="inlineStr">
        <is>
          <t>~6kΩ</t>
        </is>
      </c>
    </row>
    <row r="52">
      <c r="A52" s="4" t="inlineStr">
        <is>
          <t>Pull-Up (min)</t>
        </is>
      </c>
      <c r="B52" s="4" t="inlineStr">
        <is>
          <t>Rp_min</t>
        </is>
      </c>
      <c r="C52" s="4">
        <f>(3.3-0.4)/3</f>
        <v/>
      </c>
      <c r="D52" s="4" t="inlineStr">
        <is>
          <t>kΩ</t>
        </is>
      </c>
      <c r="E52" s="4" t="inlineStr">
        <is>
          <t>Vol=0.4V, Iol=3mA</t>
        </is>
      </c>
      <c r="F52" s="4" t="inlineStr">
        <is>
          <t>~1kΩ</t>
        </is>
      </c>
    </row>
    <row r="53">
      <c r="A53" s="4" t="inlineStr">
        <is>
          <t>Selected Pull-Up</t>
        </is>
      </c>
      <c r="B53" s="4" t="inlineStr">
        <is>
          <t>R305/R306</t>
        </is>
      </c>
      <c r="C53" s="4" t="n">
        <v>4.7</v>
      </c>
      <c r="D53" s="4" t="inlineStr">
        <is>
          <t>kΩ</t>
        </is>
      </c>
      <c r="E53" s="4" t="inlineStr">
        <is>
          <t>-</t>
        </is>
      </c>
      <c r="F53" s="4" t="inlineStr">
        <is>
          <t>Standard value</t>
        </is>
      </c>
    </row>
  </sheetData>
  <mergeCells count="6">
    <mergeCell ref="A46:F46"/>
    <mergeCell ref="A14:F14"/>
    <mergeCell ref="A1:F1"/>
    <mergeCell ref="A37:F37"/>
    <mergeCell ref="A26:F26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2" customWidth="1" min="4" max="4"/>
    <col width="15" customWidth="1" min="5" max="5"/>
    <col width="40" customWidth="1" min="6" max="6"/>
  </cols>
  <sheetData>
    <row r="1">
      <c r="A1" s="2" t="inlineStr">
        <is>
          <t>Section 04: Battery Management System (BMS)</t>
        </is>
      </c>
    </row>
    <row r="3">
      <c r="A3" s="2" t="inlineStr">
        <is>
          <t>Battery Configuration</t>
        </is>
      </c>
    </row>
    <row r="4">
      <c r="A4" s="3" t="inlineStr">
        <is>
          <t>Parameter</t>
        </is>
      </c>
      <c r="B4" s="3" t="inlineStr">
        <is>
          <t>Symbol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Formula</t>
        </is>
      </c>
      <c r="F4" s="3" t="inlineStr">
        <is>
          <t>Notes</t>
        </is>
      </c>
    </row>
    <row r="5">
      <c r="A5" s="4" t="inlineStr">
        <is>
          <t>Cell Configuration</t>
        </is>
      </c>
      <c r="B5" s="4" t="inlineStr">
        <is>
          <t>-</t>
        </is>
      </c>
      <c r="C5" s="4" t="inlineStr">
        <is>
          <t>2S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2 cells in series</t>
        </is>
      </c>
    </row>
    <row r="6">
      <c r="A6" s="4" t="inlineStr">
        <is>
          <t>Cell Voltage (nom)</t>
        </is>
      </c>
      <c r="B6" s="4" t="inlineStr">
        <is>
          <t>Vcell</t>
        </is>
      </c>
      <c r="C6" s="4" t="n">
        <v>3.7</v>
      </c>
      <c r="D6" s="4" t="inlineStr">
        <is>
          <t>V</t>
        </is>
      </c>
      <c r="E6" s="4" t="inlineStr">
        <is>
          <t>-</t>
        </is>
      </c>
      <c r="F6" s="4" t="inlineStr">
        <is>
          <t>Li-ion nominal</t>
        </is>
      </c>
    </row>
    <row r="7">
      <c r="A7" s="4" t="inlineStr">
        <is>
          <t>Cell Voltage (max)</t>
        </is>
      </c>
      <c r="B7" s="4" t="inlineStr">
        <is>
          <t>Vcell_max</t>
        </is>
      </c>
      <c r="C7" s="4" t="n">
        <v>4.2</v>
      </c>
      <c r="D7" s="4" t="inlineStr">
        <is>
          <t>V</t>
        </is>
      </c>
      <c r="E7" s="4" t="inlineStr">
        <is>
          <t>-</t>
        </is>
      </c>
      <c r="F7" s="4" t="inlineStr">
        <is>
          <t>Full charge</t>
        </is>
      </c>
    </row>
    <row r="8">
      <c r="A8" s="4" t="inlineStr">
        <is>
          <t>Cell Voltage (min)</t>
        </is>
      </c>
      <c r="B8" s="4" t="inlineStr">
        <is>
          <t>Vcell_min</t>
        </is>
      </c>
      <c r="C8" s="4" t="n">
        <v>3</v>
      </c>
      <c r="D8" s="4" t="inlineStr">
        <is>
          <t>V</t>
        </is>
      </c>
      <c r="E8" s="4" t="inlineStr">
        <is>
          <t>-</t>
        </is>
      </c>
      <c r="F8" s="4" t="inlineStr">
        <is>
          <t>Discharge cutoff</t>
        </is>
      </c>
    </row>
    <row r="9">
      <c r="A9" s="4" t="inlineStr">
        <is>
          <t>Pack Voltage (nom)</t>
        </is>
      </c>
      <c r="B9" s="4" t="inlineStr">
        <is>
          <t>Vpack</t>
        </is>
      </c>
      <c r="C9" s="4" t="n">
        <v>7.4</v>
      </c>
      <c r="D9" s="4" t="inlineStr">
        <is>
          <t>V</t>
        </is>
      </c>
      <c r="E9" s="4">
        <f>2*3.7</f>
        <v/>
      </c>
      <c r="F9" s="4" t="inlineStr">
        <is>
          <t>2S nominal</t>
        </is>
      </c>
    </row>
    <row r="10">
      <c r="A10" s="4" t="inlineStr">
        <is>
          <t>Pack Voltage (max)</t>
        </is>
      </c>
      <c r="B10" s="4" t="inlineStr">
        <is>
          <t>Vpack_max</t>
        </is>
      </c>
      <c r="C10" s="4" t="n">
        <v>8.4</v>
      </c>
      <c r="D10" s="4" t="inlineStr">
        <is>
          <t>V</t>
        </is>
      </c>
      <c r="E10" s="4">
        <f>2*4.2</f>
        <v/>
      </c>
      <c r="F10" s="4" t="inlineStr">
        <is>
          <t>2S full charge</t>
        </is>
      </c>
    </row>
    <row r="11">
      <c r="A11" s="4" t="inlineStr">
        <is>
          <t>Pack Capacity</t>
        </is>
      </c>
      <c r="B11" s="4" t="inlineStr">
        <is>
          <t>Cbat</t>
        </is>
      </c>
      <c r="C11" s="4" t="n">
        <v>16000</v>
      </c>
      <c r="D11" s="4" t="inlineStr">
        <is>
          <t>mAh</t>
        </is>
      </c>
      <c r="E11" s="4" t="inlineStr">
        <is>
          <t>-</t>
        </is>
      </c>
      <c r="F11" s="4" t="inlineStr">
        <is>
          <t>Per spec</t>
        </is>
      </c>
    </row>
    <row r="13">
      <c r="A13" s="2" t="inlineStr">
        <is>
          <t>HY2120 Protection Thresholds</t>
        </is>
      </c>
    </row>
    <row r="14">
      <c r="A14" s="3" t="inlineStr">
        <is>
          <t>Parameter</t>
        </is>
      </c>
      <c r="B14" s="3" t="inlineStr">
        <is>
          <t>Symbol</t>
        </is>
      </c>
      <c r="C14" s="3" t="inlineStr">
        <is>
          <t>Value</t>
        </is>
      </c>
      <c r="D14" s="3" t="inlineStr">
        <is>
          <t>Unit</t>
        </is>
      </c>
      <c r="E14" s="3" t="inlineStr">
        <is>
          <t>Formula</t>
        </is>
      </c>
      <c r="F14" s="3" t="inlineStr">
        <is>
          <t>Notes</t>
        </is>
      </c>
    </row>
    <row r="15">
      <c r="A15" s="4" t="inlineStr">
        <is>
          <t>Overcharge Threshold</t>
        </is>
      </c>
      <c r="B15" s="4" t="inlineStr">
        <is>
          <t>Voc</t>
        </is>
      </c>
      <c r="C15" s="4" t="n">
        <v>4.25</v>
      </c>
      <c r="D15" s="4" t="inlineStr">
        <is>
          <t>V</t>
        </is>
      </c>
      <c r="E15" s="4" t="inlineStr">
        <is>
          <t>-</t>
        </is>
      </c>
      <c r="F15" s="4" t="inlineStr">
        <is>
          <t>Per cell, CB version</t>
        </is>
      </c>
    </row>
    <row r="16">
      <c r="A16" s="4" t="inlineStr">
        <is>
          <t>Overcharge Release</t>
        </is>
      </c>
      <c r="B16" s="4" t="inlineStr">
        <is>
          <t>Vocr</t>
        </is>
      </c>
      <c r="C16" s="4" t="n">
        <v>4.15</v>
      </c>
      <c r="D16" s="4" t="inlineStr">
        <is>
          <t>V</t>
        </is>
      </c>
      <c r="E16" s="4" t="inlineStr">
        <is>
          <t>-</t>
        </is>
      </c>
      <c r="F16" s="4" t="inlineStr">
        <is>
          <t>Hysteresis</t>
        </is>
      </c>
    </row>
    <row r="17">
      <c r="A17" s="4" t="inlineStr">
        <is>
          <t>Over-discharge Threshold</t>
        </is>
      </c>
      <c r="B17" s="4" t="inlineStr">
        <is>
          <t>Vod</t>
        </is>
      </c>
      <c r="C17" s="4" t="n">
        <v>2.8</v>
      </c>
      <c r="D17" s="4" t="inlineStr">
        <is>
          <t>V</t>
        </is>
      </c>
      <c r="E17" s="4" t="inlineStr">
        <is>
          <t>-</t>
        </is>
      </c>
      <c r="F17" s="4" t="inlineStr">
        <is>
          <t>Per cell</t>
        </is>
      </c>
    </row>
    <row r="18">
      <c r="A18" s="4" t="inlineStr">
        <is>
          <t>Over-discharge Release</t>
        </is>
      </c>
      <c r="B18" s="4" t="inlineStr">
        <is>
          <t>Vodr</t>
        </is>
      </c>
      <c r="C18" s="4" t="n">
        <v>3</v>
      </c>
      <c r="D18" s="4" t="inlineStr">
        <is>
          <t>V</t>
        </is>
      </c>
      <c r="E18" s="4" t="inlineStr">
        <is>
          <t>-</t>
        </is>
      </c>
      <c r="F18" s="4" t="inlineStr">
        <is>
          <t>Hysteresis</t>
        </is>
      </c>
    </row>
    <row r="19">
      <c r="A19" s="4" t="inlineStr">
        <is>
          <t>Overcurrent (discharge)</t>
        </is>
      </c>
      <c r="B19" s="4" t="inlineStr">
        <is>
          <t>Ioc_dis</t>
        </is>
      </c>
      <c r="C19" s="4" t="n">
        <v>200</v>
      </c>
      <c r="D19" s="4" t="inlineStr">
        <is>
          <t>mV</t>
        </is>
      </c>
      <c r="E19" s="4" t="inlineStr">
        <is>
          <t>-</t>
        </is>
      </c>
      <c r="F19" s="4" t="inlineStr">
        <is>
          <t>Across sense resistor</t>
        </is>
      </c>
    </row>
    <row r="20">
      <c r="A20" s="4" t="inlineStr">
        <is>
          <t>Overcurrent (charge)</t>
        </is>
      </c>
      <c r="B20" s="4" t="inlineStr">
        <is>
          <t>Ioc_chg</t>
        </is>
      </c>
      <c r="C20" s="4" t="n">
        <v>100</v>
      </c>
      <c r="D20" s="4" t="inlineStr">
        <is>
          <t>mV</t>
        </is>
      </c>
      <c r="E20" s="4" t="inlineStr">
        <is>
          <t>-</t>
        </is>
      </c>
      <c r="F20" s="4" t="inlineStr">
        <is>
          <t>Lower for charging</t>
        </is>
      </c>
    </row>
    <row r="21">
      <c r="A21" s="4" t="inlineStr">
        <is>
          <t>Short Circuit</t>
        </is>
      </c>
      <c r="B21" s="4" t="inlineStr">
        <is>
          <t>Isc</t>
        </is>
      </c>
      <c r="C21" s="4" t="n">
        <v>400</v>
      </c>
      <c r="D21" s="4" t="inlineStr">
        <is>
          <t>mV</t>
        </is>
      </c>
      <c r="E21" s="4" t="inlineStr">
        <is>
          <t>-</t>
        </is>
      </c>
      <c r="F21" s="4" t="inlineStr">
        <is>
          <t>Fast response</t>
        </is>
      </c>
    </row>
    <row r="23">
      <c r="A23" s="2" t="inlineStr">
        <is>
          <t>Current Sense Resistor Calculation</t>
        </is>
      </c>
    </row>
    <row r="24">
      <c r="A24" s="3" t="inlineStr">
        <is>
          <t>Parameter</t>
        </is>
      </c>
      <c r="B24" s="3" t="inlineStr">
        <is>
          <t>Symbol</t>
        </is>
      </c>
      <c r="C24" s="3" t="inlineStr">
        <is>
          <t>Value</t>
        </is>
      </c>
      <c r="D24" s="3" t="inlineStr">
        <is>
          <t>Unit</t>
        </is>
      </c>
      <c r="E24" s="3" t="inlineStr">
        <is>
          <t>Formula</t>
        </is>
      </c>
      <c r="F24" s="3" t="inlineStr">
        <is>
          <t>Notes</t>
        </is>
      </c>
    </row>
    <row r="25">
      <c r="A25" s="4" t="inlineStr">
        <is>
          <t>Overcurrent Threshold</t>
        </is>
      </c>
      <c r="B25" s="4" t="inlineStr">
        <is>
          <t>Voc</t>
        </is>
      </c>
      <c r="C25" s="4" t="n">
        <v>200</v>
      </c>
      <c r="D25" s="4" t="inlineStr">
        <is>
          <t>mV</t>
        </is>
      </c>
      <c r="E25" s="4" t="inlineStr">
        <is>
          <t>-</t>
        </is>
      </c>
      <c r="F25" s="4" t="inlineStr">
        <is>
          <t>HY2120 typical</t>
        </is>
      </c>
    </row>
    <row r="26">
      <c r="A26" s="4" t="inlineStr">
        <is>
          <t>Desired Trip Current</t>
        </is>
      </c>
      <c r="B26" s="4" t="inlineStr">
        <is>
          <t>Itrip</t>
        </is>
      </c>
      <c r="C26" s="4" t="n">
        <v>40</v>
      </c>
      <c r="D26" s="4" t="inlineStr">
        <is>
          <t>A</t>
        </is>
      </c>
      <c r="E26" s="4" t="inlineStr">
        <is>
          <t>-</t>
        </is>
      </c>
      <c r="F26" s="4" t="inlineStr">
        <is>
          <t>Max continuous</t>
        </is>
      </c>
    </row>
    <row r="27">
      <c r="A27" s="4" t="inlineStr">
        <is>
          <t>Sense Resistor</t>
        </is>
      </c>
      <c r="B27" s="4" t="inlineStr">
        <is>
          <t>R403</t>
        </is>
      </c>
      <c r="C27" s="4">
        <f>200/40</f>
        <v/>
      </c>
      <c r="D27" s="4" t="inlineStr">
        <is>
          <t>mΩ</t>
        </is>
      </c>
      <c r="E27" s="4" t="inlineStr">
        <is>
          <t>Rsense = Voc/Itrip</t>
        </is>
      </c>
      <c r="F27" s="4" t="inlineStr">
        <is>
          <t>5mΩ calculated</t>
        </is>
      </c>
    </row>
    <row r="28">
      <c r="A28" s="4" t="inlineStr">
        <is>
          <t>Selected Value</t>
        </is>
      </c>
      <c r="B28" s="4" t="inlineStr">
        <is>
          <t>R403</t>
        </is>
      </c>
      <c r="C28" s="4" t="n">
        <v>5</v>
      </c>
      <c r="D28" s="4" t="inlineStr">
        <is>
          <t>mΩ</t>
        </is>
      </c>
      <c r="E28" s="4" t="inlineStr">
        <is>
          <t>-</t>
        </is>
      </c>
      <c r="F28" s="4" t="inlineStr">
        <is>
          <t>Standard 1% value</t>
        </is>
      </c>
    </row>
    <row r="29">
      <c r="A29" s="4" t="inlineStr">
        <is>
          <t>Actual Trip Current</t>
        </is>
      </c>
      <c r="B29" s="4" t="inlineStr">
        <is>
          <t>Itrip_act</t>
        </is>
      </c>
      <c r="C29" s="4">
        <f>200/5</f>
        <v/>
      </c>
      <c r="D29" s="4" t="inlineStr">
        <is>
          <t>A</t>
        </is>
      </c>
      <c r="E29" s="4" t="inlineStr">
        <is>
          <t>I = Voc/R</t>
        </is>
      </c>
      <c r="F29" s="4" t="inlineStr">
        <is>
          <t>40A</t>
        </is>
      </c>
    </row>
    <row r="30">
      <c r="A30" s="4" t="inlineStr">
        <is>
          <t>Power @ Trip</t>
        </is>
      </c>
      <c r="B30" s="4" t="inlineStr">
        <is>
          <t>Psense</t>
        </is>
      </c>
      <c r="C30" s="4">
        <f>40^2*5/1000</f>
        <v/>
      </c>
      <c r="D30" s="4" t="inlineStr">
        <is>
          <t>W</t>
        </is>
      </c>
      <c r="E30" s="4" t="inlineStr">
        <is>
          <t>P = I²R</t>
        </is>
      </c>
      <c r="F30" s="4" t="inlineStr">
        <is>
          <t>8W peak</t>
        </is>
      </c>
    </row>
    <row r="31">
      <c r="A31" s="4" t="inlineStr">
        <is>
          <t>Power @ 5A Normal</t>
        </is>
      </c>
      <c r="B31" s="4" t="inlineStr">
        <is>
          <t>Psense_5A</t>
        </is>
      </c>
      <c r="C31" s="4">
        <f>5^2*5/1000</f>
        <v/>
      </c>
      <c r="D31" s="4" t="inlineStr">
        <is>
          <t>mW</t>
        </is>
      </c>
      <c r="E31" s="4" t="inlineStr">
        <is>
          <t>P = I²R</t>
        </is>
      </c>
      <c r="F31" s="4" t="inlineStr">
        <is>
          <t>125mW</t>
        </is>
      </c>
    </row>
    <row r="32">
      <c r="A32" s="4" t="inlineStr">
        <is>
          <t>Resistor Package</t>
        </is>
      </c>
      <c r="B32" s="4" t="inlineStr">
        <is>
          <t>-</t>
        </is>
      </c>
      <c r="C32" s="4" t="inlineStr">
        <is>
          <t>1206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0.5W rating</t>
        </is>
      </c>
    </row>
    <row r="34">
      <c r="A34" s="2" t="inlineStr">
        <is>
          <t>Cell Balancing (HY2213-BB3A)</t>
        </is>
      </c>
    </row>
    <row r="35">
      <c r="A35" s="3" t="inlineStr">
        <is>
          <t>Parameter</t>
        </is>
      </c>
      <c r="B35" s="3" t="inlineStr">
        <is>
          <t>Symbol</t>
        </is>
      </c>
      <c r="C35" s="3" t="inlineStr">
        <is>
          <t>Value</t>
        </is>
      </c>
      <c r="D35" s="3" t="inlineStr">
        <is>
          <t>Unit</t>
        </is>
      </c>
      <c r="E35" s="3" t="inlineStr">
        <is>
          <t>Formula</t>
        </is>
      </c>
      <c r="F35" s="3" t="inlineStr">
        <is>
          <t>Notes</t>
        </is>
      </c>
    </row>
    <row r="36">
      <c r="A36" s="4" t="inlineStr">
        <is>
          <t>Balance Start Voltage</t>
        </is>
      </c>
      <c r="B36" s="4" t="inlineStr">
        <is>
          <t>Vbal</t>
        </is>
      </c>
      <c r="C36" s="4" t="n">
        <v>4.2</v>
      </c>
      <c r="D36" s="4" t="inlineStr">
        <is>
          <t>V</t>
        </is>
      </c>
      <c r="E36" s="4" t="inlineStr">
        <is>
          <t>-</t>
        </is>
      </c>
      <c r="F36" s="4" t="inlineStr">
        <is>
          <t>HY2213-BB3A threshold</t>
        </is>
      </c>
    </row>
    <row r="37">
      <c r="A37" s="4" t="inlineStr">
        <is>
          <t>Balance Voltage Hyst</t>
        </is>
      </c>
      <c r="B37" s="4" t="inlineStr">
        <is>
          <t>Vbal_h</t>
        </is>
      </c>
      <c r="C37" s="4" t="n">
        <v>50</v>
      </c>
      <c r="D37" s="4" t="inlineStr">
        <is>
          <t>mV</t>
        </is>
      </c>
      <c r="E37" s="4" t="inlineStr">
        <is>
          <t>-</t>
        </is>
      </c>
      <c r="F37" s="4" t="inlineStr">
        <is>
          <t>Hysteresis</t>
        </is>
      </c>
    </row>
    <row r="38">
      <c r="A38" s="4" t="inlineStr">
        <is>
          <t>Desired Bleed Current</t>
        </is>
      </c>
      <c r="B38" s="4" t="inlineStr">
        <is>
          <t>Ibal</t>
        </is>
      </c>
      <c r="C38" s="4" t="n">
        <v>68</v>
      </c>
      <c r="D38" s="4" t="inlineStr">
        <is>
          <t>mA</t>
        </is>
      </c>
      <c r="E38" s="4" t="inlineStr">
        <is>
          <t>-</t>
        </is>
      </c>
      <c r="F38" s="4" t="inlineStr">
        <is>
          <t>Moderate balance rate</t>
        </is>
      </c>
    </row>
    <row r="39">
      <c r="A39" s="4" t="inlineStr">
        <is>
          <t>Balance Resistor</t>
        </is>
      </c>
      <c r="B39" s="4" t="inlineStr">
        <is>
          <t>Rbal</t>
        </is>
      </c>
      <c r="C39" s="4">
        <f>4.2/0.068</f>
        <v/>
      </c>
      <c r="D39" s="4" t="inlineStr">
        <is>
          <t>Ω</t>
        </is>
      </c>
      <c r="E39" s="4" t="inlineStr">
        <is>
          <t>R = V/I</t>
        </is>
      </c>
      <c r="F39" s="4" t="inlineStr">
        <is>
          <t>~62Ω</t>
        </is>
      </c>
    </row>
    <row r="40">
      <c r="A40" s="4" t="inlineStr">
        <is>
          <t>Selected Value</t>
        </is>
      </c>
      <c r="B40" s="4" t="inlineStr">
        <is>
          <t>R404/R405</t>
        </is>
      </c>
      <c r="C40" s="4" t="n">
        <v>62</v>
      </c>
      <c r="D40" s="4" t="inlineStr">
        <is>
          <t>Ω</t>
        </is>
      </c>
      <c r="E40" s="4" t="inlineStr">
        <is>
          <t>-</t>
        </is>
      </c>
      <c r="F40" s="4" t="inlineStr">
        <is>
          <t>Standard E24 value</t>
        </is>
      </c>
    </row>
    <row r="41">
      <c r="A41" s="4" t="inlineStr">
        <is>
          <t>Actual Bleed Current</t>
        </is>
      </c>
      <c r="B41" s="4" t="inlineStr">
        <is>
          <t>Ibal_act</t>
        </is>
      </c>
      <c r="C41" s="4">
        <f>4.2/62*1000</f>
        <v/>
      </c>
      <c r="D41" s="4" t="inlineStr">
        <is>
          <t>mA</t>
        </is>
      </c>
      <c r="E41" s="4" t="inlineStr">
        <is>
          <t>I = V/R</t>
        </is>
      </c>
      <c r="F41" s="4" t="inlineStr">
        <is>
          <t>67.7mA</t>
        </is>
      </c>
    </row>
    <row r="42">
      <c r="A42" s="4" t="inlineStr">
        <is>
          <t>Power Dissipation</t>
        </is>
      </c>
      <c r="B42" s="4" t="inlineStr">
        <is>
          <t>Pbal</t>
        </is>
      </c>
      <c r="C42" s="4">
        <f>4.2^2/62*1000</f>
        <v/>
      </c>
      <c r="D42" s="4" t="inlineStr">
        <is>
          <t>mW</t>
        </is>
      </c>
      <c r="E42" s="4" t="inlineStr">
        <is>
          <t>P = V²/R</t>
        </is>
      </c>
      <c r="F42" s="4" t="inlineStr">
        <is>
          <t>284mW</t>
        </is>
      </c>
    </row>
    <row r="43">
      <c r="A43" s="4" t="inlineStr">
        <is>
          <t>Resistor Package</t>
        </is>
      </c>
      <c r="B43" s="4" t="inlineStr">
        <is>
          <t>-</t>
        </is>
      </c>
      <c r="C43" s="4" t="inlineStr">
        <is>
          <t>0805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0.25W rating OK</t>
        </is>
      </c>
    </row>
    <row r="44">
      <c r="A44" s="4" t="inlineStr">
        <is>
          <t>Max Balance Time</t>
        </is>
      </c>
      <c r="B44" s="4" t="inlineStr">
        <is>
          <t>t_bal</t>
        </is>
      </c>
      <c r="C44" s="4">
        <f>500/67.7</f>
        <v/>
      </c>
      <c r="D44" s="4" t="inlineStr">
        <is>
          <t>hrs</t>
        </is>
      </c>
      <c r="E44" s="4" t="inlineStr">
        <is>
          <t>ΔQ / Ibal</t>
        </is>
      </c>
      <c r="F44" s="4" t="inlineStr">
        <is>
          <t>~7.4h for 500mAh diff</t>
        </is>
      </c>
    </row>
    <row r="46">
      <c r="A46" s="2" t="inlineStr">
        <is>
          <t>MOSFET Selection (AO3400A)</t>
        </is>
      </c>
    </row>
    <row r="47">
      <c r="A47" s="3" t="inlineStr">
        <is>
          <t>Parameter</t>
        </is>
      </c>
      <c r="B47" s="3" t="inlineStr">
        <is>
          <t>Symbol</t>
        </is>
      </c>
      <c r="C47" s="3" t="inlineStr">
        <is>
          <t>Value</t>
        </is>
      </c>
      <c r="D47" s="3" t="inlineStr">
        <is>
          <t>Unit</t>
        </is>
      </c>
      <c r="E47" s="3" t="inlineStr">
        <is>
          <t>Formula</t>
        </is>
      </c>
      <c r="F47" s="3" t="inlineStr">
        <is>
          <t>Notes</t>
        </is>
      </c>
    </row>
    <row r="48">
      <c r="A48" s="4" t="inlineStr">
        <is>
          <t>Drain-Source Voltage</t>
        </is>
      </c>
      <c r="B48" s="4" t="inlineStr">
        <is>
          <t>Vds</t>
        </is>
      </c>
      <c r="C48" s="4" t="n">
        <v>30</v>
      </c>
      <c r="D48" s="4" t="inlineStr">
        <is>
          <t>V</t>
        </is>
      </c>
      <c r="E48" s="4" t="inlineStr">
        <is>
          <t>-</t>
        </is>
      </c>
      <c r="F48" s="4" t="inlineStr">
        <is>
          <t>Exceeds 8.4V pack</t>
        </is>
      </c>
    </row>
    <row r="49">
      <c r="A49" s="4" t="inlineStr">
        <is>
          <t>Continuous Current</t>
        </is>
      </c>
      <c r="B49" s="4" t="inlineStr">
        <is>
          <t>Id</t>
        </is>
      </c>
      <c r="C49" s="4" t="n">
        <v>5.7</v>
      </c>
      <c r="D49" s="4" t="inlineStr">
        <is>
          <t>A</t>
        </is>
      </c>
      <c r="E49" s="4" t="inlineStr">
        <is>
          <t>-</t>
        </is>
      </c>
      <c r="F49" s="4" t="inlineStr">
        <is>
          <t>At 25°C</t>
        </is>
      </c>
    </row>
    <row r="50">
      <c r="A50" s="4" t="inlineStr">
        <is>
          <t>On Resistance</t>
        </is>
      </c>
      <c r="B50" s="4" t="inlineStr">
        <is>
          <t>Rds_on</t>
        </is>
      </c>
      <c r="C50" s="4" t="n">
        <v>28</v>
      </c>
      <c r="D50" s="4" t="inlineStr">
        <is>
          <t>mΩ</t>
        </is>
      </c>
      <c r="E50" s="4" t="inlineStr">
        <is>
          <t>-</t>
        </is>
      </c>
      <c r="F50" s="4" t="inlineStr">
        <is>
          <t>At Vgs=4.5V</t>
        </is>
      </c>
    </row>
    <row r="51">
      <c r="A51" s="4" t="inlineStr">
        <is>
          <t>Gate Threshold</t>
        </is>
      </c>
      <c r="B51" s="4" t="inlineStr">
        <is>
          <t>Vgs_th</t>
        </is>
      </c>
      <c r="C51" s="4" t="n">
        <v>1.2</v>
      </c>
      <c r="D51" s="4" t="inlineStr">
        <is>
          <t>V</t>
        </is>
      </c>
      <c r="E51" s="4" t="inlineStr">
        <is>
          <t>-</t>
        </is>
      </c>
      <c r="F51" s="4" t="inlineStr">
        <is>
          <t>Typical</t>
        </is>
      </c>
    </row>
    <row r="52">
      <c r="A52" s="4" t="inlineStr">
        <is>
          <t>HY2120 Gate Drive</t>
        </is>
      </c>
      <c r="B52" s="4" t="inlineStr">
        <is>
          <t>Vgate</t>
        </is>
      </c>
      <c r="C52" s="4" t="inlineStr">
        <is>
          <t>~3</t>
        </is>
      </c>
      <c r="D52" s="4" t="inlineStr">
        <is>
          <t>V</t>
        </is>
      </c>
      <c r="E52" s="4" t="inlineStr">
        <is>
          <t>-</t>
        </is>
      </c>
      <c r="F52" s="4" t="inlineStr">
        <is>
          <t>From OD/OC pins</t>
        </is>
      </c>
    </row>
    <row r="53">
      <c r="A53" s="4" t="inlineStr">
        <is>
          <t>FETs in Series</t>
        </is>
      </c>
      <c r="B53" s="4" t="inlineStr">
        <is>
          <t>n</t>
        </is>
      </c>
      <c r="C53" s="4" t="n">
        <v>2</v>
      </c>
      <c r="D53" s="4" t="inlineStr">
        <is>
          <t>-</t>
        </is>
      </c>
      <c r="E53" s="4" t="inlineStr">
        <is>
          <t>-</t>
        </is>
      </c>
      <c r="F53" s="4" t="inlineStr">
        <is>
          <t>Back-to-back per function</t>
        </is>
      </c>
    </row>
    <row r="54">
      <c r="A54" s="4" t="inlineStr">
        <is>
          <t>Total Rds (per path)</t>
        </is>
      </c>
      <c r="B54" s="4" t="inlineStr">
        <is>
          <t>Rds_total</t>
        </is>
      </c>
      <c r="C54" s="4">
        <f>28*2</f>
        <v/>
      </c>
      <c r="D54" s="4" t="inlineStr">
        <is>
          <t>mΩ</t>
        </is>
      </c>
      <c r="E54" s="4" t="inlineStr">
        <is>
          <t>n * Rds_on</t>
        </is>
      </c>
      <c r="F54" s="4" t="inlineStr">
        <is>
          <t>56mΩ</t>
        </is>
      </c>
    </row>
    <row r="55">
      <c r="A55" s="4" t="inlineStr">
        <is>
          <t>Conduction Loss @5A</t>
        </is>
      </c>
      <c r="B55" s="4" t="inlineStr">
        <is>
          <t>Pcond</t>
        </is>
      </c>
      <c r="C55" s="4">
        <f>5^2*56/1000</f>
        <v/>
      </c>
      <c r="D55" s="4" t="inlineStr">
        <is>
          <t>W</t>
        </is>
      </c>
      <c r="E55" s="4" t="inlineStr">
        <is>
          <t>P = I² * R</t>
        </is>
      </c>
      <c r="F55" s="4" t="inlineStr">
        <is>
          <t>1.4W</t>
        </is>
      </c>
    </row>
    <row r="56">
      <c r="A56" s="4" t="inlineStr">
        <is>
          <t>Gate Resistor</t>
        </is>
      </c>
      <c r="B56" s="4" t="inlineStr">
        <is>
          <t>R401/R402</t>
        </is>
      </c>
      <c r="C56" s="4" t="n">
        <v>1</v>
      </c>
      <c r="D56" s="4" t="inlineStr">
        <is>
          <t>kΩ</t>
        </is>
      </c>
      <c r="E56" s="4" t="inlineStr">
        <is>
          <t>-</t>
        </is>
      </c>
      <c r="F56" s="4" t="inlineStr">
        <is>
          <t>Limits gate current</t>
        </is>
      </c>
    </row>
    <row r="58">
      <c r="A58" s="2" t="inlineStr">
        <is>
          <t>Section 04 BOM Summary</t>
        </is>
      </c>
    </row>
    <row r="59">
      <c r="A59" s="3" t="inlineStr">
        <is>
          <t>Reference</t>
        </is>
      </c>
      <c r="B59" s="3" t="inlineStr">
        <is>
          <t>Value</t>
        </is>
      </c>
      <c r="C59" s="3" t="inlineStr">
        <is>
          <t>Package</t>
        </is>
      </c>
      <c r="D59" s="3" t="inlineStr">
        <is>
          <t>Qty</t>
        </is>
      </c>
      <c r="E59" s="3" t="inlineStr">
        <is>
          <t>JLCPCB</t>
        </is>
      </c>
      <c r="F59" s="3" t="inlineStr">
        <is>
          <t>Description</t>
        </is>
      </c>
    </row>
    <row r="60">
      <c r="A60" s="4" t="inlineStr">
        <is>
          <t>U4</t>
        </is>
      </c>
      <c r="B60" s="4" t="inlineStr">
        <is>
          <t>HY2120-CB</t>
        </is>
      </c>
      <c r="C60" s="4" t="inlineStr">
        <is>
          <t>SOT-23-6</t>
        </is>
      </c>
      <c r="D60" s="4" t="n">
        <v>1</v>
      </c>
      <c r="E60" s="4" t="inlineStr">
        <is>
          <t>C113632</t>
        </is>
      </c>
      <c r="F60" s="4" t="inlineStr">
        <is>
          <t>2S protection IC</t>
        </is>
      </c>
    </row>
    <row r="61">
      <c r="A61" s="4" t="inlineStr">
        <is>
          <t>U5, U6</t>
        </is>
      </c>
      <c r="B61" s="4" t="inlineStr">
        <is>
          <t>HY2213-BB3A</t>
        </is>
      </c>
      <c r="C61" s="4" t="inlineStr">
        <is>
          <t>SOT-23-6</t>
        </is>
      </c>
      <c r="D61" s="4" t="n">
        <v>2</v>
      </c>
      <c r="E61" s="4" t="inlineStr">
        <is>
          <t>C113633</t>
        </is>
      </c>
      <c r="F61" s="4" t="inlineStr">
        <is>
          <t>Cell balancer</t>
        </is>
      </c>
    </row>
    <row r="62">
      <c r="A62" s="4" t="inlineStr">
        <is>
          <t>Q1-Q4</t>
        </is>
      </c>
      <c r="B62" s="4" t="inlineStr">
        <is>
          <t>AO3400A</t>
        </is>
      </c>
      <c r="C62" s="4" t="inlineStr">
        <is>
          <t>SOT-23</t>
        </is>
      </c>
      <c r="D62" s="4" t="n">
        <v>4</v>
      </c>
      <c r="E62" s="4" t="inlineStr">
        <is>
          <t>C20917</t>
        </is>
      </c>
      <c r="F62" s="4" t="inlineStr">
        <is>
          <t>N-ch MOSFET</t>
        </is>
      </c>
    </row>
    <row r="63">
      <c r="A63" s="4" t="inlineStr">
        <is>
          <t>C401-C403</t>
        </is>
      </c>
      <c r="B63" s="4" t="inlineStr">
        <is>
          <t>100nF</t>
        </is>
      </c>
      <c r="C63" s="4" t="inlineStr">
        <is>
          <t>0603</t>
        </is>
      </c>
      <c r="D63" s="4" t="n">
        <v>3</v>
      </c>
      <c r="E63" s="4" t="inlineStr">
        <is>
          <t>C14663</t>
        </is>
      </c>
      <c r="F63" s="4" t="inlineStr">
        <is>
          <t>Bypass caps</t>
        </is>
      </c>
    </row>
    <row r="64">
      <c r="A64" s="4" t="inlineStr">
        <is>
          <t>R401, R402</t>
        </is>
      </c>
      <c r="B64" s="4" t="inlineStr">
        <is>
          <t>1kΩ</t>
        </is>
      </c>
      <c r="C64" s="4" t="inlineStr">
        <is>
          <t>0603</t>
        </is>
      </c>
      <c r="D64" s="4" t="n">
        <v>2</v>
      </c>
      <c r="E64" s="4" t="inlineStr">
        <is>
          <t>C21190</t>
        </is>
      </c>
      <c r="F64" s="4" t="inlineStr">
        <is>
          <t>Gate resistors</t>
        </is>
      </c>
    </row>
    <row r="65">
      <c r="A65" s="4" t="inlineStr">
        <is>
          <t>R403</t>
        </is>
      </c>
      <c r="B65" s="4" t="inlineStr">
        <is>
          <t>5mΩ</t>
        </is>
      </c>
      <c r="C65" s="4" t="inlineStr">
        <is>
          <t>1206</t>
        </is>
      </c>
      <c r="D65" s="4" t="n">
        <v>1</v>
      </c>
      <c r="E65" s="4" t="inlineStr">
        <is>
          <t>C2933641</t>
        </is>
      </c>
      <c r="F65" s="4" t="inlineStr">
        <is>
          <t>Current sense</t>
        </is>
      </c>
    </row>
    <row r="66">
      <c r="A66" s="4" t="inlineStr">
        <is>
          <t>R404, R405</t>
        </is>
      </c>
      <c r="B66" s="4" t="inlineStr">
        <is>
          <t>62Ω</t>
        </is>
      </c>
      <c r="C66" s="4" t="inlineStr">
        <is>
          <t>0805</t>
        </is>
      </c>
      <c r="D66" s="4" t="n">
        <v>2</v>
      </c>
      <c r="E66" s="4" t="inlineStr">
        <is>
          <t>C17828</t>
        </is>
      </c>
      <c r="F66" s="4" t="inlineStr">
        <is>
          <t>Balance resistors</t>
        </is>
      </c>
    </row>
    <row r="67">
      <c r="A67" s="4" t="inlineStr">
        <is>
          <t>TOTAL</t>
        </is>
      </c>
      <c r="B67" s="4" t="inlineStr">
        <is>
          <t>-</t>
        </is>
      </c>
      <c r="C67" s="4" t="inlineStr">
        <is>
          <t>-</t>
        </is>
      </c>
      <c r="D67" s="4" t="n">
        <v>15</v>
      </c>
      <c r="E67" s="4" t="inlineStr">
        <is>
          <t>-</t>
        </is>
      </c>
      <c r="F67" s="4" t="inlineStr">
        <is>
          <t>4 ICs + 11 passives</t>
        </is>
      </c>
    </row>
  </sheetData>
  <mergeCells count="7">
    <mergeCell ref="A46:F46"/>
    <mergeCell ref="A13:F13"/>
    <mergeCell ref="A1:F1"/>
    <mergeCell ref="A23:F23"/>
    <mergeCell ref="A58:F58"/>
    <mergeCell ref="A34:F34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2" customWidth="1" min="4" max="4"/>
    <col width="15" customWidth="1" min="5" max="5"/>
    <col width="40" customWidth="1" min="6" max="6"/>
  </cols>
  <sheetData>
    <row r="1">
      <c r="A1" s="2" t="inlineStr">
        <is>
          <t>Sections 05-06: DC-DC Buck Regulators</t>
        </is>
      </c>
    </row>
    <row r="3">
      <c r="A3" s="2" t="inlineStr">
        <is>
          <t>System Parameters</t>
        </is>
      </c>
    </row>
    <row r="4">
      <c r="A4" s="3" t="inlineStr">
        <is>
          <t>Parameter</t>
        </is>
      </c>
      <c r="B4" s="3" t="inlineStr">
        <is>
          <t>Symbol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Formula</t>
        </is>
      </c>
      <c r="F4" s="3" t="inlineStr">
        <is>
          <t>Notes</t>
        </is>
      </c>
    </row>
    <row r="5">
      <c r="A5" s="4" t="inlineStr">
        <is>
          <t>Input Voltage (nom)</t>
        </is>
      </c>
      <c r="B5" s="4" t="inlineStr">
        <is>
          <t>Vin</t>
        </is>
      </c>
      <c r="C5" s="4" t="n">
        <v>7.4</v>
      </c>
      <c r="D5" s="4" t="inlineStr">
        <is>
          <t>V</t>
        </is>
      </c>
      <c r="E5" s="4" t="inlineStr">
        <is>
          <t>-</t>
        </is>
      </c>
      <c r="F5" s="4" t="inlineStr">
        <is>
          <t>VSYS from 2S battery</t>
        </is>
      </c>
    </row>
    <row r="6">
      <c r="A6" s="4" t="inlineStr">
        <is>
          <t>Input Voltage (min)</t>
        </is>
      </c>
      <c r="B6" s="4" t="inlineStr">
        <is>
          <t>Vin_min</t>
        </is>
      </c>
      <c r="C6" s="4" t="n">
        <v>6</v>
      </c>
      <c r="D6" s="4" t="inlineStr">
        <is>
          <t>V</t>
        </is>
      </c>
      <c r="E6" s="4" t="inlineStr">
        <is>
          <t>-</t>
        </is>
      </c>
      <c r="F6" s="4" t="inlineStr">
        <is>
          <t>Battery discharged</t>
        </is>
      </c>
    </row>
    <row r="7">
      <c r="A7" s="4" t="inlineStr">
        <is>
          <t>Input Voltage (max)</t>
        </is>
      </c>
      <c r="B7" s="4" t="inlineStr">
        <is>
          <t>Vin_max</t>
        </is>
      </c>
      <c r="C7" s="4" t="n">
        <v>8.4</v>
      </c>
      <c r="D7" s="4" t="inlineStr">
        <is>
          <t>V</t>
        </is>
      </c>
      <c r="E7" s="4" t="inlineStr">
        <is>
          <t>-</t>
        </is>
      </c>
      <c r="F7" s="4" t="inlineStr">
        <is>
          <t>Battery full</t>
        </is>
      </c>
    </row>
    <row r="8">
      <c r="A8" s="4" t="inlineStr">
        <is>
          <t>Switching Frequency</t>
        </is>
      </c>
      <c r="B8" s="4" t="inlineStr">
        <is>
          <t>Fsw</t>
        </is>
      </c>
      <c r="C8" s="4" t="n">
        <v>2.5</v>
      </c>
      <c r="D8" s="4" t="inlineStr">
        <is>
          <t>MHz</t>
        </is>
      </c>
      <c r="E8" s="4" t="inlineStr">
        <is>
          <t>-</t>
        </is>
      </c>
      <c r="F8" s="4" t="inlineStr">
        <is>
          <t>TPS6213x default</t>
        </is>
      </c>
    </row>
    <row r="10">
      <c r="A10" s="2" t="inlineStr">
        <is>
          <t>Section 05: TPS62133 (3.3V Fixed)</t>
        </is>
      </c>
    </row>
    <row r="11">
      <c r="A11" s="3" t="inlineStr">
        <is>
          <t>Parameter</t>
        </is>
      </c>
      <c r="B11" s="3" t="inlineStr">
        <is>
          <t>Symbol</t>
        </is>
      </c>
      <c r="C11" s="3" t="inlineStr">
        <is>
          <t>Value</t>
        </is>
      </c>
      <c r="D11" s="3" t="inlineStr">
        <is>
          <t>Unit</t>
        </is>
      </c>
      <c r="E11" s="3" t="inlineStr">
        <is>
          <t>Formula</t>
        </is>
      </c>
      <c r="F11" s="3" t="inlineStr">
        <is>
          <t>Notes</t>
        </is>
      </c>
    </row>
    <row r="12">
      <c r="A12" s="4" t="inlineStr">
        <is>
          <t>Output Voltage</t>
        </is>
      </c>
      <c r="B12" s="4" t="inlineStr">
        <is>
          <t>Vout</t>
        </is>
      </c>
      <c r="C12" s="4" t="n">
        <v>3.3</v>
      </c>
      <c r="D12" s="4" t="inlineStr">
        <is>
          <t>V</t>
        </is>
      </c>
      <c r="E12" s="4" t="inlineStr">
        <is>
          <t>-</t>
        </is>
      </c>
      <c r="F12" s="4" t="inlineStr">
        <is>
          <t>Fixed output version</t>
        </is>
      </c>
    </row>
    <row r="13">
      <c r="A13" s="4" t="inlineStr">
        <is>
          <t>Max Output Current</t>
        </is>
      </c>
      <c r="B13" s="4" t="inlineStr">
        <is>
          <t>Iout_max</t>
        </is>
      </c>
      <c r="C13" s="4" t="n">
        <v>3</v>
      </c>
      <c r="D13" s="4" t="inlineStr">
        <is>
          <t>A</t>
        </is>
      </c>
      <c r="E13" s="4" t="inlineStr">
        <is>
          <t>-</t>
        </is>
      </c>
      <c r="F13" s="4" t="inlineStr">
        <is>
          <t>Continuous</t>
        </is>
      </c>
    </row>
    <row r="14">
      <c r="A14" s="4" t="inlineStr">
        <is>
          <t>Typical Load Current</t>
        </is>
      </c>
      <c r="B14" s="4" t="inlineStr">
        <is>
          <t>Iout_typ</t>
        </is>
      </c>
      <c r="C14" s="4" t="n">
        <v>0.5</v>
      </c>
      <c r="D14" s="4" t="inlineStr">
        <is>
          <t>A</t>
        </is>
      </c>
      <c r="E14" s="4" t="inlineStr">
        <is>
          <t>-</t>
        </is>
      </c>
      <c r="F14" s="4" t="inlineStr">
        <is>
          <t>MCU + sensors</t>
        </is>
      </c>
    </row>
    <row r="15">
      <c r="A15" s="4" t="inlineStr">
        <is>
          <t>Inductor Value</t>
        </is>
      </c>
      <c r="B15" s="4" t="inlineStr">
        <is>
          <t>L2</t>
        </is>
      </c>
      <c r="C15" s="4" t="n">
        <v>1.5</v>
      </c>
      <c r="D15" s="4" t="inlineStr">
        <is>
          <t>µH</t>
        </is>
      </c>
      <c r="E15" s="4" t="inlineStr">
        <is>
          <t>TI recommended</t>
        </is>
      </c>
      <c r="F15" s="4" t="inlineStr">
        <is>
          <t>1-2.2µH range</t>
        </is>
      </c>
    </row>
    <row r="16">
      <c r="A16" s="4" t="inlineStr">
        <is>
          <t>Inductor Saturation</t>
        </is>
      </c>
      <c r="B16" s="4" t="inlineStr">
        <is>
          <t>Isat</t>
        </is>
      </c>
      <c r="C16" s="4" t="n">
        <v>4</v>
      </c>
      <c r="D16" s="4" t="inlineStr">
        <is>
          <t>A</t>
        </is>
      </c>
      <c r="E16" s="4" t="inlineStr">
        <is>
          <t>&gt;Iout_max</t>
        </is>
      </c>
      <c r="F16" s="4" t="inlineStr">
        <is>
          <t>Must not saturate</t>
        </is>
      </c>
    </row>
    <row r="17">
      <c r="A17" s="4" t="inlineStr">
        <is>
          <t>Input Cap (bulk)</t>
        </is>
      </c>
      <c r="B17" s="4" t="inlineStr">
        <is>
          <t>C501</t>
        </is>
      </c>
      <c r="C17" s="4" t="n">
        <v>10</v>
      </c>
      <c r="D17" s="4" t="inlineStr">
        <is>
          <t>µF</t>
        </is>
      </c>
      <c r="E17" s="4" t="inlineStr">
        <is>
          <t>-</t>
        </is>
      </c>
      <c r="F17" s="4" t="inlineStr">
        <is>
          <t>X7R ceramic</t>
        </is>
      </c>
    </row>
    <row r="18">
      <c r="A18" s="4" t="inlineStr">
        <is>
          <t>Input Cap (HF)</t>
        </is>
      </c>
      <c r="B18" s="4" t="inlineStr">
        <is>
          <t>C502</t>
        </is>
      </c>
      <c r="C18" s="4" t="n">
        <v>100</v>
      </c>
      <c r="D18" s="4" t="inlineStr">
        <is>
          <t>nF</t>
        </is>
      </c>
      <c r="E18" s="4" t="inlineStr">
        <is>
          <t>-</t>
        </is>
      </c>
      <c r="F18" s="4" t="inlineStr">
        <is>
          <t>High frequency</t>
        </is>
      </c>
    </row>
    <row r="19">
      <c r="A19" s="4" t="inlineStr">
        <is>
          <t>Output Cap (bulk)</t>
        </is>
      </c>
      <c r="B19" s="4" t="inlineStr">
        <is>
          <t>C503+C504</t>
        </is>
      </c>
      <c r="C19" s="4" t="n">
        <v>44</v>
      </c>
      <c r="D19" s="4" t="inlineStr">
        <is>
          <t>µF</t>
        </is>
      </c>
      <c r="E19" s="4" t="inlineStr">
        <is>
          <t>2×22µF</t>
        </is>
      </c>
      <c r="F19" s="4" t="inlineStr">
        <is>
          <t>Low ESR X7R</t>
        </is>
      </c>
    </row>
    <row r="20">
      <c r="A20" s="4" t="inlineStr">
        <is>
          <t>Output Cap (HF)</t>
        </is>
      </c>
      <c r="B20" s="4" t="inlineStr">
        <is>
          <t>C505</t>
        </is>
      </c>
      <c r="C20" s="4" t="n">
        <v>100</v>
      </c>
      <c r="D20" s="4" t="inlineStr">
        <is>
          <t>nF</t>
        </is>
      </c>
      <c r="E20" s="4" t="inlineStr">
        <is>
          <t>-</t>
        </is>
      </c>
      <c r="F20" s="4" t="inlineStr">
        <is>
          <t>High frequency</t>
        </is>
      </c>
    </row>
    <row r="21">
      <c r="A21" s="4" t="inlineStr">
        <is>
          <t>Efficiency (typ)</t>
        </is>
      </c>
      <c r="B21" s="4" t="inlineStr">
        <is>
          <t>η</t>
        </is>
      </c>
      <c r="C21" s="4" t="n">
        <v>92</v>
      </c>
      <c r="D21" s="4" t="inlineStr">
        <is>
          <t>%</t>
        </is>
      </c>
      <c r="E21" s="4" t="inlineStr">
        <is>
          <t>@7.4V,1A</t>
        </is>
      </c>
      <c r="F21" s="4" t="inlineStr">
        <is>
          <t>From datasheet</t>
        </is>
      </c>
    </row>
    <row r="22">
      <c r="A22" s="4" t="inlineStr">
        <is>
          <t>Power Loss @0.5A</t>
        </is>
      </c>
      <c r="B22" s="4" t="inlineStr">
        <is>
          <t>Ploss</t>
        </is>
      </c>
      <c r="C22" s="4">
        <f>0.5*3.3*(1-0.92)/0.92</f>
        <v/>
      </c>
      <c r="D22" s="4" t="inlineStr">
        <is>
          <t>W</t>
        </is>
      </c>
      <c r="E22" s="4" t="inlineStr">
        <is>
          <t>Pout*(1-η)/η</t>
        </is>
      </c>
      <c r="F22" s="4" t="inlineStr">
        <is>
          <t>~143mW</t>
        </is>
      </c>
    </row>
    <row r="24">
      <c r="A24" s="2" t="inlineStr">
        <is>
          <t>Section 06: TPS62130 (5V Adjustable)</t>
        </is>
      </c>
    </row>
    <row r="25">
      <c r="A25" s="3" t="inlineStr">
        <is>
          <t>Parameter</t>
        </is>
      </c>
      <c r="B25" s="3" t="inlineStr">
        <is>
          <t>Symbol</t>
        </is>
      </c>
      <c r="C25" s="3" t="inlineStr">
        <is>
          <t>Value</t>
        </is>
      </c>
      <c r="D25" s="3" t="inlineStr">
        <is>
          <t>Unit</t>
        </is>
      </c>
      <c r="E25" s="3" t="inlineStr">
        <is>
          <t>Formula</t>
        </is>
      </c>
      <c r="F25" s="3" t="inlineStr">
        <is>
          <t>Notes</t>
        </is>
      </c>
    </row>
    <row r="26">
      <c r="A26" s="4" t="inlineStr">
        <is>
          <t>Feedback Reference</t>
        </is>
      </c>
      <c r="B26" s="4" t="inlineStr">
        <is>
          <t>Vfb</t>
        </is>
      </c>
      <c r="C26" s="4" t="n">
        <v>0.8</v>
      </c>
      <c r="D26" s="4" t="inlineStr">
        <is>
          <t>V</t>
        </is>
      </c>
      <c r="E26" s="4" t="inlineStr">
        <is>
          <t>-</t>
        </is>
      </c>
      <c r="F26" s="4" t="inlineStr">
        <is>
          <t>Internal reference</t>
        </is>
      </c>
    </row>
    <row r="27">
      <c r="A27" s="4" t="inlineStr">
        <is>
          <t>FB Top Resistor</t>
        </is>
      </c>
      <c r="B27" s="4" t="inlineStr">
        <is>
          <t>R601</t>
        </is>
      </c>
      <c r="C27" s="4" t="n">
        <v>100</v>
      </c>
      <c r="D27" s="4" t="inlineStr">
        <is>
          <t>kΩ</t>
        </is>
      </c>
      <c r="E27" s="4" t="inlineStr">
        <is>
          <t>-</t>
        </is>
      </c>
      <c r="F27" s="4" t="inlineStr">
        <is>
          <t>VOUT to FB</t>
        </is>
      </c>
    </row>
    <row r="28">
      <c r="A28" s="4" t="inlineStr">
        <is>
          <t>FB Bottom Resistor</t>
        </is>
      </c>
      <c r="B28" s="4" t="inlineStr">
        <is>
          <t>R602</t>
        </is>
      </c>
      <c r="C28" s="4" t="n">
        <v>19.1</v>
      </c>
      <c r="D28" s="4" t="inlineStr">
        <is>
          <t>kΩ</t>
        </is>
      </c>
      <c r="E28" s="4" t="inlineStr">
        <is>
          <t>C25947</t>
        </is>
      </c>
      <c r="F28" s="4" t="inlineStr">
        <is>
          <t>FB to GND</t>
        </is>
      </c>
    </row>
    <row r="29">
      <c r="A29" s="4" t="inlineStr">
        <is>
          <t>Output Voltage</t>
        </is>
      </c>
      <c r="B29" s="4" t="inlineStr">
        <is>
          <t>Vout</t>
        </is>
      </c>
      <c r="C29" s="4">
        <f>0.8*(1+100/19.1)</f>
        <v/>
      </c>
      <c r="D29" s="4" t="inlineStr">
        <is>
          <t>V</t>
        </is>
      </c>
      <c r="E29" s="4" t="inlineStr">
        <is>
          <t>Vfb*(1+R601/R602)</t>
        </is>
      </c>
      <c r="F29" s="4" t="inlineStr">
        <is>
          <t>~5.03V</t>
        </is>
      </c>
    </row>
    <row r="30">
      <c r="A30" s="4" t="inlineStr">
        <is>
          <t>Max Output Current</t>
        </is>
      </c>
      <c r="B30" s="4" t="inlineStr">
        <is>
          <t>Iout_max</t>
        </is>
      </c>
      <c r="C30" s="4" t="n">
        <v>3</v>
      </c>
      <c r="D30" s="4" t="inlineStr">
        <is>
          <t>A</t>
        </is>
      </c>
      <c r="E30" s="4" t="inlineStr">
        <is>
          <t>-</t>
        </is>
      </c>
      <c r="F30" s="4" t="inlineStr">
        <is>
          <t>Continuous</t>
        </is>
      </c>
    </row>
    <row r="31">
      <c r="A31" s="4" t="inlineStr">
        <is>
          <t>Typical Load Current</t>
        </is>
      </c>
      <c r="B31" s="4" t="inlineStr">
        <is>
          <t>Iout_typ</t>
        </is>
      </c>
      <c r="C31" s="4" t="n">
        <v>1</v>
      </c>
      <c r="D31" s="4" t="inlineStr">
        <is>
          <t>A</t>
        </is>
      </c>
      <c r="E31" s="4" t="inlineStr">
        <is>
          <t>-</t>
        </is>
      </c>
      <c r="F31" s="4" t="inlineStr">
        <is>
          <t>LEDs + display</t>
        </is>
      </c>
    </row>
    <row r="32">
      <c r="A32" s="4" t="inlineStr">
        <is>
          <t>Inductor Value</t>
        </is>
      </c>
      <c r="B32" s="4" t="inlineStr">
        <is>
          <t>L3</t>
        </is>
      </c>
      <c r="C32" s="4" t="n">
        <v>1.5</v>
      </c>
      <c r="D32" s="4" t="inlineStr">
        <is>
          <t>µH</t>
        </is>
      </c>
      <c r="E32" s="4" t="inlineStr">
        <is>
          <t>TI recommended</t>
        </is>
      </c>
      <c r="F32" s="4" t="inlineStr">
        <is>
          <t>1-2.2µH range</t>
        </is>
      </c>
    </row>
    <row r="33">
      <c r="A33" s="4" t="inlineStr">
        <is>
          <t>Inductor Saturation</t>
        </is>
      </c>
      <c r="B33" s="4" t="inlineStr">
        <is>
          <t>Isat</t>
        </is>
      </c>
      <c r="C33" s="4" t="n">
        <v>4</v>
      </c>
      <c r="D33" s="4" t="inlineStr">
        <is>
          <t>A</t>
        </is>
      </c>
      <c r="E33" s="4" t="inlineStr">
        <is>
          <t>&gt;Iout_max</t>
        </is>
      </c>
      <c r="F33" s="4" t="inlineStr">
        <is>
          <t>Must not saturate</t>
        </is>
      </c>
    </row>
    <row r="34">
      <c r="A34" s="4" t="inlineStr">
        <is>
          <t>Efficiency (typ)</t>
        </is>
      </c>
      <c r="B34" s="4" t="inlineStr">
        <is>
          <t>η</t>
        </is>
      </c>
      <c r="C34" s="4" t="n">
        <v>90</v>
      </c>
      <c r="D34" s="4" t="inlineStr">
        <is>
          <t>%</t>
        </is>
      </c>
      <c r="E34" s="4" t="inlineStr">
        <is>
          <t>@7.4V,1A</t>
        </is>
      </c>
      <c r="F34" s="4" t="inlineStr">
        <is>
          <t>Estimated</t>
        </is>
      </c>
    </row>
    <row r="35">
      <c r="A35" s="4" t="inlineStr">
        <is>
          <t>Power Loss @1A</t>
        </is>
      </c>
      <c r="B35" s="4" t="inlineStr">
        <is>
          <t>Ploss</t>
        </is>
      </c>
      <c r="C35" s="4">
        <f>1*5*(1-0.90)/0.90</f>
        <v/>
      </c>
      <c r="D35" s="4" t="inlineStr">
        <is>
          <t>W</t>
        </is>
      </c>
      <c r="E35" s="4" t="inlineStr">
        <is>
          <t>Pout*(1-η)/η</t>
        </is>
      </c>
      <c r="F35" s="4" t="inlineStr">
        <is>
          <t>~556mW</t>
        </is>
      </c>
    </row>
    <row r="37">
      <c r="A37" s="2" t="inlineStr">
        <is>
          <t>Inductor Selection Guidelines</t>
        </is>
      </c>
    </row>
    <row r="38">
      <c r="A38" s="3" t="inlineStr">
        <is>
          <t>Parameter</t>
        </is>
      </c>
      <c r="B38" s="3" t="inlineStr">
        <is>
          <t>Symbol</t>
        </is>
      </c>
      <c r="C38" s="3" t="inlineStr">
        <is>
          <t>Value</t>
        </is>
      </c>
      <c r="D38" s="3" t="inlineStr">
        <is>
          <t>Unit</t>
        </is>
      </c>
      <c r="E38" s="3" t="inlineStr">
        <is>
          <t>Formula</t>
        </is>
      </c>
      <c r="F38" s="3" t="inlineStr">
        <is>
          <t>Notes</t>
        </is>
      </c>
    </row>
    <row r="39">
      <c r="A39" s="4" t="inlineStr">
        <is>
          <t>Min Inductance</t>
        </is>
      </c>
      <c r="B39" s="4" t="inlineStr">
        <is>
          <t>Lmin</t>
        </is>
      </c>
      <c r="C39" s="4" t="n">
        <v>1</v>
      </c>
      <c r="D39" s="4" t="inlineStr">
        <is>
          <t>µH</t>
        </is>
      </c>
      <c r="E39" s="4" t="inlineStr">
        <is>
          <t>TI app note</t>
        </is>
      </c>
      <c r="F39" s="4" t="inlineStr">
        <is>
          <t>For 2.5MHz</t>
        </is>
      </c>
    </row>
    <row r="40">
      <c r="A40" s="4" t="inlineStr">
        <is>
          <t>Max Inductance</t>
        </is>
      </c>
      <c r="B40" s="4" t="inlineStr">
        <is>
          <t>Lmax</t>
        </is>
      </c>
      <c r="C40" s="4" t="n">
        <v>2.2</v>
      </c>
      <c r="D40" s="4" t="inlineStr">
        <is>
          <t>µH</t>
        </is>
      </c>
      <c r="E40" s="4" t="inlineStr">
        <is>
          <t>TI app note</t>
        </is>
      </c>
      <c r="F40" s="4" t="inlineStr">
        <is>
          <t>Higher = less ripple</t>
        </is>
      </c>
    </row>
    <row r="41">
      <c r="A41" s="4" t="inlineStr">
        <is>
          <t>Selected Value</t>
        </is>
      </c>
      <c r="B41" s="4" t="inlineStr">
        <is>
          <t>L</t>
        </is>
      </c>
      <c r="C41" s="4" t="n">
        <v>1.5</v>
      </c>
      <c r="D41" s="4" t="inlineStr">
        <is>
          <t>µH</t>
        </is>
      </c>
      <c r="E41" s="4" t="inlineStr">
        <is>
          <t>-</t>
        </is>
      </c>
      <c r="F41" s="4" t="inlineStr">
        <is>
          <t>Good compromise</t>
        </is>
      </c>
    </row>
    <row r="42">
      <c r="A42" s="4" t="inlineStr">
        <is>
          <t>Peak Current</t>
        </is>
      </c>
      <c r="B42" s="4" t="inlineStr">
        <is>
          <t>Ipk</t>
        </is>
      </c>
      <c r="C42" s="4">
        <f>Iout+ΔI/2</f>
        <v/>
      </c>
      <c r="D42" s="4" t="inlineStr">
        <is>
          <t>A</t>
        </is>
      </c>
      <c r="E42" s="4" t="inlineStr">
        <is>
          <t>-</t>
        </is>
      </c>
      <c r="F42" s="4" t="inlineStr">
        <is>
          <t>Must be &lt; Isat</t>
        </is>
      </c>
    </row>
    <row r="43">
      <c r="A43" s="4" t="inlineStr">
        <is>
          <t>Ripple Current (est)</t>
        </is>
      </c>
      <c r="B43" s="4" t="inlineStr">
        <is>
          <t>ΔI</t>
        </is>
      </c>
      <c r="C43" s="4" t="inlineStr">
        <is>
          <t>~30%</t>
        </is>
      </c>
      <c r="D43" s="4" t="inlineStr">
        <is>
          <t>-</t>
        </is>
      </c>
      <c r="E43" s="4" t="inlineStr">
        <is>
          <t>of Iout</t>
        </is>
      </c>
      <c r="F43" s="4" t="inlineStr">
        <is>
          <t>Typical design</t>
        </is>
      </c>
    </row>
    <row r="44">
      <c r="A44" s="4" t="inlineStr">
        <is>
          <t>DC Resistance</t>
        </is>
      </c>
      <c r="B44" s="4" t="inlineStr">
        <is>
          <t>Rdc</t>
        </is>
      </c>
      <c r="C44" s="4" t="inlineStr">
        <is>
          <t>&lt;30</t>
        </is>
      </c>
      <c r="D44" s="4" t="inlineStr">
        <is>
          <t>mΩ</t>
        </is>
      </c>
      <c r="E44" s="4" t="inlineStr">
        <is>
          <t>-</t>
        </is>
      </c>
      <c r="F44" s="4" t="inlineStr">
        <is>
          <t>Lower = better efficiency</t>
        </is>
      </c>
    </row>
    <row r="45">
      <c r="A45" s="4" t="inlineStr">
        <is>
          <t>Package</t>
        </is>
      </c>
      <c r="B45" s="4" t="inlineStr">
        <is>
          <t>-</t>
        </is>
      </c>
      <c r="C45" s="4" t="inlineStr">
        <is>
          <t>4×4mm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Shielded ferrite</t>
        </is>
      </c>
    </row>
    <row r="47">
      <c r="A47" s="2" t="inlineStr">
        <is>
          <t>Sections 05-06 BOM Summary</t>
        </is>
      </c>
    </row>
    <row r="48">
      <c r="A48" s="3" t="inlineStr">
        <is>
          <t>Reference</t>
        </is>
      </c>
      <c r="B48" s="3" t="inlineStr">
        <is>
          <t>Value</t>
        </is>
      </c>
      <c r="C48" s="3" t="inlineStr">
        <is>
          <t>Package</t>
        </is>
      </c>
      <c r="D48" s="3" t="inlineStr">
        <is>
          <t>Qty</t>
        </is>
      </c>
      <c r="E48" s="3" t="inlineStr">
        <is>
          <t>JLCPCB</t>
        </is>
      </c>
      <c r="F48" s="3" t="inlineStr">
        <is>
          <t>Description</t>
        </is>
      </c>
    </row>
    <row r="49">
      <c r="A49" s="4" t="inlineStr">
        <is>
          <t>U7</t>
        </is>
      </c>
      <c r="B49" s="4" t="inlineStr">
        <is>
          <t>TPS62133RGTR</t>
        </is>
      </c>
      <c r="C49" s="4" t="inlineStr">
        <is>
          <t>QFN-16</t>
        </is>
      </c>
      <c r="D49" s="4" t="n">
        <v>1</v>
      </c>
      <c r="E49" s="4" t="inlineStr">
        <is>
          <t>C128072</t>
        </is>
      </c>
      <c r="F49" s="4" t="inlineStr">
        <is>
          <t>3.3V buck</t>
        </is>
      </c>
    </row>
    <row r="50">
      <c r="A50" s="4" t="inlineStr">
        <is>
          <t>U8</t>
        </is>
      </c>
      <c r="B50" s="4" t="inlineStr">
        <is>
          <t>TPS62130RGTR</t>
        </is>
      </c>
      <c r="C50" s="4" t="inlineStr">
        <is>
          <t>QFN-16</t>
        </is>
      </c>
      <c r="D50" s="4" t="n">
        <v>1</v>
      </c>
      <c r="E50" s="4" t="inlineStr">
        <is>
          <t>C128068</t>
        </is>
      </c>
      <c r="F50" s="4" t="inlineStr">
        <is>
          <t>5V buck</t>
        </is>
      </c>
    </row>
    <row r="51">
      <c r="A51" s="4" t="inlineStr">
        <is>
          <t>L2, L3</t>
        </is>
      </c>
      <c r="B51" s="4" t="inlineStr">
        <is>
          <t>1.5µH 4A</t>
        </is>
      </c>
      <c r="C51" s="4" t="inlineStr">
        <is>
          <t>4×4mm</t>
        </is>
      </c>
      <c r="D51" s="4" t="n">
        <v>2</v>
      </c>
      <c r="E51" s="4" t="inlineStr">
        <is>
          <t>C408335</t>
        </is>
      </c>
      <c r="F51" s="4" t="inlineStr">
        <is>
          <t>Shielded inductor</t>
        </is>
      </c>
    </row>
    <row r="52">
      <c r="A52" s="4" t="inlineStr">
        <is>
          <t>C501, C601</t>
        </is>
      </c>
      <c r="B52" s="4" t="inlineStr">
        <is>
          <t>10µF 16V</t>
        </is>
      </c>
      <c r="C52" s="4" t="inlineStr">
        <is>
          <t>0805</t>
        </is>
      </c>
      <c r="D52" s="4" t="n">
        <v>2</v>
      </c>
      <c r="E52" s="4" t="inlineStr">
        <is>
          <t>C15850</t>
        </is>
      </c>
      <c r="F52" s="4" t="inlineStr">
        <is>
          <t>Input bulk</t>
        </is>
      </c>
    </row>
    <row r="53">
      <c r="A53" s="4" t="inlineStr">
        <is>
          <t>C502, C602, C505, C605</t>
        </is>
      </c>
      <c r="B53" s="4" t="inlineStr">
        <is>
          <t>100nF</t>
        </is>
      </c>
      <c r="C53" s="4" t="inlineStr">
        <is>
          <t>0603</t>
        </is>
      </c>
      <c r="D53" s="4" t="n">
        <v>4</v>
      </c>
      <c r="E53" s="4" t="inlineStr">
        <is>
          <t>C14663</t>
        </is>
      </c>
      <c r="F53" s="4" t="inlineStr">
        <is>
          <t>HF filter</t>
        </is>
      </c>
    </row>
    <row r="54">
      <c r="A54" s="4" t="inlineStr">
        <is>
          <t>C503, C504, C603, C604</t>
        </is>
      </c>
      <c r="B54" s="4" t="inlineStr">
        <is>
          <t>22µF 10V</t>
        </is>
      </c>
      <c r="C54" s="4" t="inlineStr">
        <is>
          <t>0805</t>
        </is>
      </c>
      <c r="D54" s="4" t="n">
        <v>4</v>
      </c>
      <c r="E54" s="4" t="inlineStr">
        <is>
          <t>C45783</t>
        </is>
      </c>
      <c r="F54" s="4" t="inlineStr">
        <is>
          <t>Output bulk</t>
        </is>
      </c>
    </row>
    <row r="55">
      <c r="A55" s="4" t="inlineStr">
        <is>
          <t>R501, R601, R603</t>
        </is>
      </c>
      <c r="B55" s="4" t="inlineStr">
        <is>
          <t>100kΩ</t>
        </is>
      </c>
      <c r="C55" s="4" t="inlineStr">
        <is>
          <t>0603</t>
        </is>
      </c>
      <c r="D55" s="4" t="n">
        <v>3</v>
      </c>
      <c r="E55" s="4" t="inlineStr">
        <is>
          <t>C25803</t>
        </is>
      </c>
      <c r="F55" s="4" t="inlineStr">
        <is>
          <t>EN pull-up, FB top</t>
        </is>
      </c>
    </row>
    <row r="56">
      <c r="A56" s="4" t="inlineStr">
        <is>
          <t>R602</t>
        </is>
      </c>
      <c r="B56" s="4" t="inlineStr">
        <is>
          <t>24.3kΩ</t>
        </is>
      </c>
      <c r="C56" s="4" t="inlineStr">
        <is>
          <t>0603</t>
        </is>
      </c>
      <c r="D56" s="4" t="n">
        <v>1</v>
      </c>
      <c r="E56" s="4" t="inlineStr">
        <is>
          <t>C25959</t>
        </is>
      </c>
      <c r="F56" s="4" t="inlineStr">
        <is>
          <t>FB bottom</t>
        </is>
      </c>
    </row>
    <row r="57">
      <c r="A57" s="4" t="inlineStr">
        <is>
          <t>TOTAL</t>
        </is>
      </c>
      <c r="B57" s="4" t="inlineStr">
        <is>
          <t>-</t>
        </is>
      </c>
      <c r="C57" s="4" t="inlineStr">
        <is>
          <t>-</t>
        </is>
      </c>
      <c r="D57" s="4" t="n">
        <v>18</v>
      </c>
      <c r="E57" s="4" t="inlineStr">
        <is>
          <t>-</t>
        </is>
      </c>
      <c r="F57" s="4" t="inlineStr">
        <is>
          <t>2 ICs + 2 inductors + 14 passives</t>
        </is>
      </c>
    </row>
  </sheetData>
  <mergeCells count="6">
    <mergeCell ref="A24:F24"/>
    <mergeCell ref="A10:F10"/>
    <mergeCell ref="A47:F47"/>
    <mergeCell ref="A1:F1"/>
    <mergeCell ref="A37:F37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</cols>
  <sheetData>
    <row r="1">
      <c r="A1" s="2" t="inlineStr">
        <is>
          <t>System Power Budget Analysis</t>
        </is>
      </c>
    </row>
    <row r="3">
      <c r="A3" s="3" t="inlineStr">
        <is>
          <t>Subsystem</t>
        </is>
      </c>
      <c r="B3" s="3" t="inlineStr">
        <is>
          <t>Typ (mA)</t>
        </is>
      </c>
      <c r="C3" s="3" t="inlineStr">
        <is>
          <t>Max (mA)</t>
        </is>
      </c>
      <c r="D3" s="3" t="inlineStr">
        <is>
          <t>Voltage</t>
        </is>
      </c>
      <c r="E3" s="3" t="inlineStr">
        <is>
          <t>Power (mW)</t>
        </is>
      </c>
      <c r="F3" s="3" t="inlineStr">
        <is>
          <t>Notes</t>
        </is>
      </c>
    </row>
    <row r="4">
      <c r="A4" s="4" t="inlineStr">
        <is>
          <t>STM32H747 (M7 active)</t>
        </is>
      </c>
      <c r="B4" s="4" t="n">
        <v>150</v>
      </c>
      <c r="C4" s="4" t="n">
        <v>300</v>
      </c>
      <c r="D4" s="4" t="n">
        <v>3.3</v>
      </c>
      <c r="E4" s="4">
        <f>B4*D4</f>
        <v/>
      </c>
      <c r="F4" s="4" t="inlineStr">
        <is>
          <t>M7 @ 480MHz</t>
        </is>
      </c>
    </row>
    <row r="5">
      <c r="A5" s="4" t="inlineStr">
        <is>
          <t>STM32H747 (M4 active)</t>
        </is>
      </c>
      <c r="B5" s="4" t="n">
        <v>50</v>
      </c>
      <c r="C5" s="4" t="n">
        <v>100</v>
      </c>
      <c r="D5" s="4" t="n">
        <v>3.3</v>
      </c>
      <c r="E5" s="4">
        <f>B5*D5</f>
        <v/>
      </c>
      <c r="F5" s="4" t="inlineStr">
        <is>
          <t>M4 @ 240MHz</t>
        </is>
      </c>
    </row>
    <row r="6">
      <c r="A6" s="4" t="inlineStr">
        <is>
          <t>BMP390 (barometric)</t>
        </is>
      </c>
      <c r="B6" s="4" t="n">
        <v>0.7</v>
      </c>
      <c r="C6" s="4" t="n">
        <v>1</v>
      </c>
      <c r="D6" s="4" t="n">
        <v>3.3</v>
      </c>
      <c r="E6" s="4">
        <f>B6*D6</f>
        <v/>
      </c>
      <c r="F6" s="4" t="inlineStr">
        <is>
          <t>Continuous</t>
        </is>
      </c>
    </row>
    <row r="7">
      <c r="A7" s="4" t="inlineStr">
        <is>
          <t>ICM-42688-P (IMU)</t>
        </is>
      </c>
      <c r="B7" s="4" t="n">
        <v>1</v>
      </c>
      <c r="C7" s="4" t="n">
        <v>3</v>
      </c>
      <c r="D7" s="4" t="n">
        <v>3.3</v>
      </c>
      <c r="E7" s="4">
        <f>B7*D7</f>
        <v/>
      </c>
      <c r="F7" s="4" t="inlineStr">
        <is>
          <t>Accel+gyro active</t>
        </is>
      </c>
    </row>
    <row r="8">
      <c r="A8" s="4" t="inlineStr">
        <is>
          <t>MMC5983MA (mag)</t>
        </is>
      </c>
      <c r="B8" s="4" t="n">
        <v>0.5</v>
      </c>
      <c r="C8" s="4" t="n">
        <v>1</v>
      </c>
      <c r="D8" s="4" t="n">
        <v>3.3</v>
      </c>
      <c r="E8" s="4">
        <f>B8*D8</f>
        <v/>
      </c>
      <c r="F8" s="4" t="inlineStr">
        <is>
          <t>Continuous</t>
        </is>
      </c>
    </row>
    <row r="9">
      <c r="A9" s="4" t="inlineStr">
        <is>
          <t>Si7021 (temp/humid)</t>
        </is>
      </c>
      <c r="B9" s="4" t="n">
        <v>0.15</v>
      </c>
      <c r="C9" s="4" t="n">
        <v>0.2</v>
      </c>
      <c r="D9" s="4" t="n">
        <v>3.3</v>
      </c>
      <c r="E9" s="4">
        <f>B9*D9</f>
        <v/>
      </c>
      <c r="F9" s="4" t="inlineStr">
        <is>
          <t>Low power</t>
        </is>
      </c>
    </row>
    <row r="10">
      <c r="A10" s="4" t="inlineStr">
        <is>
          <t>MCP23017 (I/O exp)</t>
        </is>
      </c>
      <c r="B10" s="4" t="n">
        <v>1</v>
      </c>
      <c r="C10" s="4" t="n">
        <v>1.5</v>
      </c>
      <c r="D10" s="4" t="n">
        <v>3.3</v>
      </c>
      <c r="E10" s="4">
        <f>B10*D10</f>
        <v/>
      </c>
      <c r="F10" s="4" t="inlineStr">
        <is>
          <t>Active</t>
        </is>
      </c>
    </row>
    <row r="11">
      <c r="A11" s="4" t="inlineStr">
        <is>
          <t>ESP32-C3 (BLE)</t>
        </is>
      </c>
      <c r="B11" s="4" t="n">
        <v>20</v>
      </c>
      <c r="C11" s="4" t="n">
        <v>350</v>
      </c>
      <c r="D11" s="4" t="n">
        <v>3.3</v>
      </c>
      <c r="E11" s="4">
        <f>B11*D11</f>
        <v/>
      </c>
      <c r="F11" s="4" t="inlineStr">
        <is>
          <t>TX peak</t>
        </is>
      </c>
    </row>
    <row r="12">
      <c r="A12" s="4" t="inlineStr">
        <is>
          <t>microSD (active)</t>
        </is>
      </c>
      <c r="B12" s="4" t="n">
        <v>30</v>
      </c>
      <c r="C12" s="4" t="n">
        <v>100</v>
      </c>
      <c r="D12" s="4" t="n">
        <v>3.3</v>
      </c>
      <c r="E12" s="4">
        <f>B12*D12</f>
        <v/>
      </c>
      <c r="F12" s="4" t="inlineStr">
        <is>
          <t>Write operation</t>
        </is>
      </c>
    </row>
    <row r="13">
      <c r="A13" s="4" t="inlineStr">
        <is>
          <t>3.3V Subtotal</t>
        </is>
      </c>
      <c r="B13" s="4">
        <f>SUM(B4:B12)</f>
        <v/>
      </c>
      <c r="C13" s="4">
        <f>SUM(C4:C12)</f>
        <v/>
      </c>
      <c r="D13" s="4" t="n">
        <v>3.3</v>
      </c>
      <c r="E13" s="4">
        <f>SUM(E4:E12)</f>
        <v/>
      </c>
      <c r="F13" s="4" t="inlineStr">
        <is>
          <t>-</t>
        </is>
      </c>
    </row>
    <row r="15">
      <c r="A15" s="3" t="inlineStr">
        <is>
          <t>Subsystem</t>
        </is>
      </c>
      <c r="B15" s="3" t="inlineStr">
        <is>
          <t>Typ (mA)</t>
        </is>
      </c>
      <c r="C15" s="3" t="inlineStr">
        <is>
          <t>Max (mA)</t>
        </is>
      </c>
      <c r="D15" s="3" t="inlineStr">
        <is>
          <t>Voltage</t>
        </is>
      </c>
      <c r="E15" s="3" t="inlineStr">
        <is>
          <t>Power (mW)</t>
        </is>
      </c>
      <c r="F15" s="3" t="inlineStr">
        <is>
          <t>Notes</t>
        </is>
      </c>
    </row>
    <row r="16">
      <c r="A16" s="4" t="inlineStr">
        <is>
          <t>WS2812B-2020 (16 LEDs)</t>
        </is>
      </c>
      <c r="B16" s="4" t="n">
        <v>50</v>
      </c>
      <c r="C16" s="4" t="n">
        <v>192</v>
      </c>
      <c r="D16" s="4" t="n">
        <v>5</v>
      </c>
      <c r="E16" s="4">
        <f>B17*D17</f>
        <v/>
      </c>
      <c r="F16" s="4" t="inlineStr">
        <is>
          <t>12mA max each</t>
        </is>
      </c>
    </row>
    <row r="17">
      <c r="A17" s="4" t="inlineStr">
        <is>
          <t>MICS-4514 (heater)</t>
        </is>
      </c>
      <c r="B17" s="4" t="n">
        <v>80</v>
      </c>
      <c r="C17" s="4" t="n">
        <v>100</v>
      </c>
      <c r="D17" s="4" t="n">
        <v>5</v>
      </c>
      <c r="E17" s="4">
        <f>B18*D18</f>
        <v/>
      </c>
      <c r="F17" s="4" t="inlineStr">
        <is>
          <t>Heater active</t>
        </is>
      </c>
    </row>
    <row r="18">
      <c r="A18" s="4" t="inlineStr">
        <is>
          <t>Display backlight</t>
        </is>
      </c>
      <c r="B18" s="4" t="n">
        <v>50</v>
      </c>
      <c r="C18" s="4" t="n">
        <v>130</v>
      </c>
      <c r="D18" s="4" t="n">
        <v>5</v>
      </c>
      <c r="E18" s="4">
        <f>B19*D19</f>
        <v/>
      </c>
      <c r="F18" s="4" t="inlineStr">
        <is>
          <t>PWM controlled</t>
        </is>
      </c>
    </row>
    <row r="19">
      <c r="A19" s="4" t="inlineStr">
        <is>
          <t>Buzzer (active)</t>
        </is>
      </c>
      <c r="B19" s="4" t="n">
        <v>0</v>
      </c>
      <c r="C19" s="4" t="n">
        <v>30</v>
      </c>
      <c r="D19" s="4" t="n">
        <v>5</v>
      </c>
      <c r="E19" s="4">
        <f>B20*D20</f>
        <v/>
      </c>
      <c r="F19" s="4" t="inlineStr">
        <is>
          <t>Intermittent</t>
        </is>
      </c>
    </row>
    <row r="20">
      <c r="A20" s="4" t="inlineStr">
        <is>
          <t>5V Subtotal</t>
        </is>
      </c>
      <c r="B20" s="4">
        <f>SUM(B17:B20)</f>
        <v/>
      </c>
      <c r="C20" s="4">
        <f>SUM(C17:C20)</f>
        <v/>
      </c>
      <c r="D20" s="4" t="n">
        <v>5</v>
      </c>
      <c r="E20" s="4">
        <f>SUM(E17:E20)</f>
        <v/>
      </c>
      <c r="F20" s="4" t="inlineStr">
        <is>
          <t>-</t>
        </is>
      </c>
    </row>
    <row r="22">
      <c r="A22" s="2" t="inlineStr">
        <is>
          <t>System Totals</t>
        </is>
      </c>
    </row>
    <row r="23">
      <c r="A23" s="3" t="inlineStr">
        <is>
          <t>Subsystem</t>
        </is>
      </c>
      <c r="B23" s="3" t="inlineStr">
        <is>
          <t>Typ (mA)</t>
        </is>
      </c>
      <c r="C23" s="3" t="inlineStr">
        <is>
          <t>Max (mA)</t>
        </is>
      </c>
      <c r="D23" s="3" t="inlineStr">
        <is>
          <t>Voltage</t>
        </is>
      </c>
      <c r="E23" s="3" t="inlineStr">
        <is>
          <t>Power (mW)</t>
        </is>
      </c>
      <c r="F23" s="3" t="inlineStr">
        <is>
          <t>Notes</t>
        </is>
      </c>
    </row>
    <row r="24">
      <c r="A24" s="4" t="inlineStr">
        <is>
          <t>3.3V Rail (from VSYS)</t>
        </is>
      </c>
      <c r="B24" s="4">
        <f>B13</f>
        <v/>
      </c>
      <c r="C24" s="4">
        <f>C13</f>
        <v/>
      </c>
      <c r="D24" s="4" t="n">
        <v>3.3</v>
      </c>
      <c r="E24" s="4">
        <f>E13</f>
        <v/>
      </c>
      <c r="F24" s="4" t="inlineStr">
        <is>
          <t>-</t>
        </is>
      </c>
    </row>
    <row r="25">
      <c r="A25" s="4" t="inlineStr">
        <is>
          <t>5V Rail (from VSYS)</t>
        </is>
      </c>
      <c r="B25" s="4">
        <f>B21</f>
        <v/>
      </c>
      <c r="C25" s="4">
        <f>C21</f>
        <v/>
      </c>
      <c r="D25" s="4" t="n">
        <v>5</v>
      </c>
      <c r="E25" s="4">
        <f>E21</f>
        <v/>
      </c>
      <c r="F25" s="4" t="inlineStr">
        <is>
          <t>-</t>
        </is>
      </c>
    </row>
    <row r="26">
      <c r="A26" s="4" t="inlineStr">
        <is>
          <t>Regulator Losses (~10%)</t>
        </is>
      </c>
      <c r="B26" s="4" t="inlineStr">
        <is>
          <t>-</t>
        </is>
      </c>
      <c r="C26" s="4" t="inlineStr">
        <is>
          <t>-</t>
        </is>
      </c>
      <c r="D26" s="4" t="inlineStr">
        <is>
          <t>-</t>
        </is>
      </c>
      <c r="E26" s="4">
        <f>(E26+E27)*0.1</f>
        <v/>
      </c>
      <c r="F26" s="4" t="inlineStr">
        <is>
          <t>Efficiency loss</t>
        </is>
      </c>
    </row>
    <row r="27">
      <c r="A27" s="4" t="inlineStr">
        <is>
          <t>TOTAL from VSYS</t>
        </is>
      </c>
      <c r="B27" s="4" t="inlineStr">
        <is>
          <t>-</t>
        </is>
      </c>
      <c r="C27" s="4" t="inlineStr">
        <is>
          <t>-</t>
        </is>
      </c>
      <c r="D27" s="4" t="inlineStr">
        <is>
          <t>~7.4</t>
        </is>
      </c>
      <c r="E27" s="4">
        <f>E26+E27+E28</f>
        <v/>
      </c>
      <c r="F27" s="4" t="inlineStr">
        <is>
          <t>Typ/Max</t>
        </is>
      </c>
    </row>
    <row r="28">
      <c r="A28" s="4" t="inlineStr">
        <is>
          <t>Battery Current (typ)</t>
        </is>
      </c>
      <c r="B28" s="4" t="inlineStr">
        <is>
          <t>-</t>
        </is>
      </c>
      <c r="C28" s="4" t="inlineStr">
        <is>
          <t>-</t>
        </is>
      </c>
      <c r="D28" s="4" t="n">
        <v>7.4</v>
      </c>
      <c r="E28" s="4">
        <f>E29/7400*1000</f>
        <v/>
      </c>
      <c r="F28" s="4" t="inlineStr">
        <is>
          <t>mA from battery</t>
        </is>
      </c>
    </row>
    <row r="29">
      <c r="A29" s="4" t="inlineStr">
        <is>
          <t>Battery Life (16Ah)</t>
        </is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>
        <f>16000/E30</f>
        <v/>
      </c>
      <c r="F29" s="4" t="inlineStr">
        <is>
          <t>Hours</t>
        </is>
      </c>
    </row>
  </sheetData>
  <mergeCells count="2"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2026-01-28T22:44:16Z</dcterms:created>
  <dcterms:modified xsi:type="dcterms:W3CDTF">2026-01-28T22:44:16Z</dcterms:modified>
</cp:coreProperties>
</file>